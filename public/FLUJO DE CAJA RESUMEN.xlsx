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ian\Documents\SYP\Proyetos automatizacion 2\PUNTO MEDICAL\Flujo de caja - PM\public\"/>
    </mc:Choice>
  </mc:AlternateContent>
  <xr:revisionPtr revIDLastSave="0" documentId="13_ncr:1_{BB8AA841-312F-4D1E-8CA6-56DE1533F721}" xr6:coauthVersionLast="47" xr6:coauthVersionMax="47" xr10:uidLastSave="{00000000-0000-0000-0000-000000000000}"/>
  <bookViews>
    <workbookView xWindow="-108" yWindow="-108" windowWidth="23256" windowHeight="12456" xr2:uid="{F35304A4-F475-4A0F-BEFB-F8AFF8538C1C}"/>
  </bookViews>
  <sheets>
    <sheet name="Hoja1" sheetId="1" r:id="rId1"/>
    <sheet name="Hoja2" sheetId="2" r:id="rId2"/>
  </sheets>
  <definedNames>
    <definedName name="_xlnm._FilterDatabase" localSheetId="0" hidden="1">Hoja1!$A$1:$E$155</definedName>
    <definedName name="_xlnm._FilterDatabase" localSheetId="1" hidden="1">Hoja2!$A$1:$B$224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4" i="1" l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20" i="1"/>
  <c r="E6" i="1"/>
  <c r="E7" i="1"/>
  <c r="E8" i="1"/>
  <c r="E9" i="1"/>
  <c r="E10" i="1"/>
  <c r="E5" i="1"/>
  <c r="E2" i="1"/>
  <c r="E3" i="1"/>
  <c r="E4" i="1"/>
  <c r="E11" i="1"/>
  <c r="E12" i="1"/>
  <c r="E13" i="1"/>
  <c r="E14" i="1"/>
  <c r="E15" i="1"/>
  <c r="E16" i="1"/>
  <c r="E17" i="1"/>
  <c r="E18" i="1"/>
  <c r="E19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</calcChain>
</file>

<file path=xl/sharedStrings.xml><?xml version="1.0" encoding="utf-8"?>
<sst xmlns="http://schemas.openxmlformats.org/spreadsheetml/2006/main" count="703" uniqueCount="225">
  <si>
    <t>Factura</t>
  </si>
  <si>
    <t>Nombre</t>
  </si>
  <si>
    <t>Valor</t>
  </si>
  <si>
    <t>Fecha</t>
  </si>
  <si>
    <t>RTE ICA</t>
  </si>
  <si>
    <t>ANTONIO BERNAL</t>
  </si>
  <si>
    <t>ANDRES SALOMON</t>
  </si>
  <si>
    <t>KEVIN FABIAN JARA PARRAGA</t>
  </si>
  <si>
    <t>PERCOS FAR LTDA</t>
  </si>
  <si>
    <t>BIAL PHARMACEUTICAL</t>
  </si>
  <si>
    <t>ALFA TRADING SAS</t>
  </si>
  <si>
    <t>DISTRIBUCIONES GENERICOS JN SAS</t>
  </si>
  <si>
    <t>LADMEDIS SAS</t>
  </si>
  <si>
    <t>DEPOSITO DE DROGAS MONACO SAS</t>
  </si>
  <si>
    <t>DISTRIBUIDORA INTERNACIONAL DE DROGAS SAS</t>
  </si>
  <si>
    <t>AIPHEX GLOBALPHARMA SAS</t>
  </si>
  <si>
    <t>DROALIADOS SAS</t>
  </si>
  <si>
    <t>LABORATORIOS KEV'S SAS</t>
  </si>
  <si>
    <t>DISTRIBUIDORA FARMACEUTICA ROMA SA</t>
  </si>
  <si>
    <t>SANCHEZ LOPEZ LUIS ANTONIO</t>
  </si>
  <si>
    <t>INTERNACIONAL DE BELLEZA SAS</t>
  </si>
  <si>
    <t>DISTRIBUCIONES TOLE SAS</t>
  </si>
  <si>
    <t>SOLUTIONSVEGA T SAS</t>
  </si>
  <si>
    <t>PRODUCTOS DISANFER SAS</t>
  </si>
  <si>
    <t>DISTRIBUIDORA INGLESA SAS</t>
  </si>
  <si>
    <t>ETICOS SAS</t>
  </si>
  <si>
    <t>BIAL PHARMACEUTICAL SAS</t>
  </si>
  <si>
    <t>DISTRIBUCIONES AXA SAS CONSUMO</t>
  </si>
  <si>
    <t>DISTRIBUCIONES MACROFARMA SAS</t>
  </si>
  <si>
    <t>COMERCIALIZADORA MULTIDROGAS DE COLOMBIA SAS</t>
  </si>
  <si>
    <t>BLASKOV</t>
  </si>
  <si>
    <t>DROGUERIAS Y FARMACIAS CRUZ VERDE SAS</t>
  </si>
  <si>
    <t>LABORATORIOS KEFREN SAS</t>
  </si>
  <si>
    <t>QUIMICOS BOREAL SAS</t>
  </si>
  <si>
    <t>PRODUCTOS FARMACEUTICOS PROFAR SAS</t>
  </si>
  <si>
    <t>PROFMA SAS</t>
  </si>
  <si>
    <t>GASTOS</t>
  </si>
  <si>
    <t>LABORATORIOS K'EVS SAS</t>
  </si>
  <si>
    <t>DEPOSITO DE MEDICAMENTOS EMES SAS</t>
  </si>
  <si>
    <t>Intereses viejos (Obligatorio) Sep</t>
  </si>
  <si>
    <t>Prestamo 150MM S&amp;P (Obligatorio) Oct</t>
  </si>
  <si>
    <t xml:space="preserve">Intereses Prestamo Maritza Forero </t>
  </si>
  <si>
    <t>Prestamo Angie Amaya (Ricardo Arambulo intereses)</t>
  </si>
  <si>
    <t>Pestamo Deysy Gonzalez (intereses)</t>
  </si>
  <si>
    <t>Internet  CLARO</t>
  </si>
  <si>
    <t>Acueducto Bodega</t>
  </si>
  <si>
    <t>IVA</t>
  </si>
  <si>
    <t>INDUSTRIA Y COMERCIO</t>
  </si>
  <si>
    <t>Poliza de seguro PYME</t>
  </si>
  <si>
    <t>Digitación contable - (Alfonso Urrea)  (a cta Bancolombia) Oct</t>
  </si>
  <si>
    <t>Revisoria Fiscal - ( José Luis Sanchez) Oct</t>
  </si>
  <si>
    <t>Comisiones Jeimy Paola Ortiz Duarte (JUL)</t>
  </si>
  <si>
    <t>Comisiones Nancy Rosalba Mora moreno Ventas (OCT)</t>
  </si>
  <si>
    <t>Comisiones Antonio Bernal Cardona (oct)</t>
  </si>
  <si>
    <t>Comisiones Saludia Santiago Feliciano (Ronald)</t>
  </si>
  <si>
    <t>Tarjeta de credito BANCOLOMBIA 20MM</t>
  </si>
  <si>
    <t>Intereses viejos (Obligatorio) Oct</t>
  </si>
  <si>
    <t>Prestamo 150MM S&amp;P (Obligatorio) Nov</t>
  </si>
  <si>
    <t>Prestamo Luisa Diaz (intereses)</t>
  </si>
  <si>
    <t>Prestamo Dayan Manjarres (intereses)</t>
  </si>
  <si>
    <t>Prestamo Helda Doncel (intereses)</t>
  </si>
  <si>
    <t xml:space="preserve">Pestamo Edward Forero 26MM (intereses) CUENTA DE COBRO  </t>
  </si>
  <si>
    <t>Servicio de Nomina y Seguridad Social - Servicios de SEPTIEMBRE</t>
  </si>
  <si>
    <t>Servicio de Nomina y Seguridad Social - Servicios de OCTUBRE</t>
  </si>
  <si>
    <t>Arriendo Software Mantis</t>
  </si>
  <si>
    <t>HOSTING MANTIS</t>
  </si>
  <si>
    <t>SUIT Medimantis</t>
  </si>
  <si>
    <t>tercera dotacion 2025</t>
  </si>
  <si>
    <t>Nómina quincena 1 (Primera NOV)</t>
  </si>
  <si>
    <t xml:space="preserve">Prestamo Jorge Angel </t>
  </si>
  <si>
    <t>SERVICIO DE NOMINA JULIETH</t>
  </si>
  <si>
    <t>DISTRIBUCIONES AXA SAS EXPRESS</t>
  </si>
  <si>
    <t>COMERCIALIZADORA NISSI RN SAS</t>
  </si>
  <si>
    <t>LABORATORIOS NATURAL FRESHLY SAS</t>
  </si>
  <si>
    <t>DESCUNTO</t>
  </si>
  <si>
    <t>OBLIGATORIO</t>
  </si>
  <si>
    <t>IMPORTANTE</t>
  </si>
  <si>
    <t>MANEJABLE</t>
  </si>
  <si>
    <t>DISMESMEDICA SAS</t>
  </si>
  <si>
    <t>BIBIANA OLARTE (COLNATURALES)</t>
  </si>
  <si>
    <t>DISTRIBUCIONES INGLESA SAS</t>
  </si>
  <si>
    <t>DISMESMEDICA COLOMBIA SAS</t>
  </si>
  <si>
    <t>BIBIANA OLARTE MUÑOZ (COLNATURALES)</t>
  </si>
  <si>
    <t>INDUSTRIA TECNICA DE MADERAS SAS</t>
  </si>
  <si>
    <t>MEDICAL CONSULTING COLOMBIA SAS</t>
  </si>
  <si>
    <t>PROVEDOR</t>
  </si>
  <si>
    <t>MEMPHIS PRODUCTS SA</t>
  </si>
  <si>
    <t>SOCIEDAD ALDANKEMI LTDA</t>
  </si>
  <si>
    <t xml:space="preserve">LADMEDIS SAS </t>
  </si>
  <si>
    <t>TOOL COMERCIALIZADORA SAS</t>
  </si>
  <si>
    <t>LABORATORIOS KEV´S SAS</t>
  </si>
  <si>
    <t>SOLUCIONES HOSPITALARIAS DE LA COSTA SAS</t>
  </si>
  <si>
    <t>JOSE LUIS VEGA TUNJANO</t>
  </si>
  <si>
    <t>DISTRIBUCIONES AXA SAS</t>
  </si>
  <si>
    <t>PERCOSFAR SAS</t>
  </si>
  <si>
    <t>Comisiones Nancy Rosalba Mora moreno Ventas (NOV)</t>
  </si>
  <si>
    <t>Comisiones Antonio Bernal Cardona (NOV)</t>
  </si>
  <si>
    <t>Intereses viejos (Obligatorio) NOV</t>
  </si>
  <si>
    <t>Intereses viejos (Obligatorio) DIC</t>
  </si>
  <si>
    <t>Prestamo 150MM S&amp;P (Obligatorio) DIC</t>
  </si>
  <si>
    <t>Prestamo Angie Amaya (Ricardo Arambulo intereses) DIC</t>
  </si>
  <si>
    <t>Servicio de nómina y seguridad social</t>
  </si>
  <si>
    <t>Nómina quincena 1 (Primera DIC)</t>
  </si>
  <si>
    <t>Servicio de nómina y seguridad social Julieth Bonilla</t>
  </si>
  <si>
    <t>BIG MEDICAL SAS</t>
  </si>
  <si>
    <t>AIPHEX GLOBAPHARMA SAS</t>
  </si>
  <si>
    <t>TECNOQUIMICAS SA</t>
  </si>
  <si>
    <t>ALDANKEMI LTDA</t>
  </si>
  <si>
    <t>LABOTORIOS BREMYNG SAS</t>
  </si>
  <si>
    <t>DISTRIBUIDORA NEGOCIEMOS PHARMA SAS</t>
  </si>
  <si>
    <t>INTERBEL SAS</t>
  </si>
  <si>
    <t>Servicio de Nomina y Seguridad Social - Servicios de NOVIEMBRE</t>
  </si>
  <si>
    <t>BIBIANA OLARTE MUÑOS (COLNATURAL)</t>
  </si>
  <si>
    <t>DISTRIBUCIONES AXA SAS FOCALIZADO</t>
  </si>
  <si>
    <t>DISPOSITIVOS MEDICOS G S SAS</t>
  </si>
  <si>
    <t>JENNY MARCELA CASAS DE LOS RIOS</t>
  </si>
  <si>
    <t>Arriendo Bodega nueva</t>
  </si>
  <si>
    <t>REGENTE DE FARMACIA</t>
  </si>
  <si>
    <t>Telefonía líneas corporativas</t>
  </si>
  <si>
    <t>Comisiones Nancy Rosalba Mora moreno Ventas (DIC)</t>
  </si>
  <si>
    <t>Comisiones Antonio Bernal Cardona (DIC)</t>
  </si>
  <si>
    <t>Tarjeta de credito BANCOLOMBIA 10MM</t>
  </si>
  <si>
    <t>Intereses viejos (Obligatorio) ENE</t>
  </si>
  <si>
    <t>Prestamo 150MM S&amp;P (Obligatorio) ENE</t>
  </si>
  <si>
    <t>Intereses Prestamo Maritza Forero 50.5MM</t>
  </si>
  <si>
    <t>Prestamo Angie Amaya (Ricardo Arambulo intereses) ENE</t>
  </si>
  <si>
    <t>Prestamo Luisa Diaz (intereses) ENE</t>
  </si>
  <si>
    <t>Prestamo Oscar Cala (intereses)</t>
  </si>
  <si>
    <t>Pestamo Claudia Forero (intereses)</t>
  </si>
  <si>
    <t>Servicio de Nomina y Seguridad Social - Servicios de DICIEMBRE</t>
  </si>
  <si>
    <t>Primera dotacion 2026</t>
  </si>
  <si>
    <t>1° Prima de servicios</t>
  </si>
  <si>
    <t>Nómina quincena 1 (Primera ENE)</t>
  </si>
  <si>
    <t>MAX GLOVE SAS</t>
  </si>
  <si>
    <t>TECNOQUIMICAS SAS</t>
  </si>
  <si>
    <t>LABORATORIOS OSA SAS</t>
  </si>
  <si>
    <t>POKEM SAS</t>
  </si>
  <si>
    <t xml:space="preserve">COLNATURALES </t>
  </si>
  <si>
    <t>LABORATORIOS BREMYMG SAS</t>
  </si>
  <si>
    <t>Seguridad personal independiente - Antonio Bernal</t>
  </si>
  <si>
    <t>Seguridad personal independiente - Victor Gil</t>
  </si>
  <si>
    <t>Digitación contable - (Alfonso Urrea)  (a cta Bancolombia) Ene</t>
  </si>
  <si>
    <t>Revisoria Fiscal - ( José Luis Sanchez) Dic</t>
  </si>
  <si>
    <t>Revisoria Fiscal - ( José Luis Sanchez) Ene</t>
  </si>
  <si>
    <t>Comisiones Nancy Rosalba Mora moreno Ventas (ENE)</t>
  </si>
  <si>
    <t>Comisiones Antonio Bernal Cardona (ENE)</t>
  </si>
  <si>
    <t>Intereses viejos (Obligatorio) FEB</t>
  </si>
  <si>
    <t>Prestamo 150MM S&amp;P (Obligatorio) FEB</t>
  </si>
  <si>
    <t>Intereses Prestamo Maritza Forero 50.5MM + Prestamo 26,7MM (intereses adelantados 23 días)</t>
  </si>
  <si>
    <t>Prestamo Luisa Diaz (intereses) FEB</t>
  </si>
  <si>
    <t>Prestamo Luisa Diaz (intereses) DIC</t>
  </si>
  <si>
    <t>Pestamo Ingrid Olarte (intereses)</t>
  </si>
  <si>
    <t>Nómina quincena 2 (Segunda ENE)</t>
  </si>
  <si>
    <t>Intereses a las cesantias</t>
  </si>
  <si>
    <t>Nómina quincena 1 (Primera FEB)</t>
  </si>
  <si>
    <t>DROGUERIA CENTRAL BQ SAS</t>
  </si>
  <si>
    <t>MEDICAL FARMA LC SAS</t>
  </si>
  <si>
    <t>Digitación contable - (Alfonso Urrea)  (a cta Bancolombia) Feb</t>
  </si>
  <si>
    <t>Revisoria Fiscal - ( José Luis Sanchez) Feb</t>
  </si>
  <si>
    <t>Comisiones Antonio Bernal Cardona (FEB)</t>
  </si>
  <si>
    <t>Intereses viejos (Obligatorio) MAR</t>
  </si>
  <si>
    <t>Prestamo 150MM S&amp;P (Obligatorio) MAR</t>
  </si>
  <si>
    <t>Prestamo Angie Amaya (Ricardo Arambulo intereses) FEB</t>
  </si>
  <si>
    <t>Prestamo Luisa Diaz (intereses) MAR</t>
  </si>
  <si>
    <t>Nómina quincena 2 (Segunda FEB)</t>
  </si>
  <si>
    <t>CESANTIAS</t>
  </si>
  <si>
    <t>Nómina quincena 1 (Primera MAR)</t>
  </si>
  <si>
    <t>DISTRIBUIDORA FARMACEUTICA ZANECOL SAS</t>
  </si>
  <si>
    <t xml:space="preserve">BIOPRONATURALS (BIBIANA OLARTE) </t>
  </si>
  <si>
    <t>CHAPET (MIRYAM MOLINA FLOREZ)</t>
  </si>
  <si>
    <t>LABORATORIOS HIGIETEX SAS</t>
  </si>
  <si>
    <t>LOINPRO SAS</t>
  </si>
  <si>
    <t>DISMEDICA COLOMBIA SAS</t>
  </si>
  <si>
    <t>Comisiones Nancy Rosalba Mora moreno Ventas (FEB)</t>
  </si>
  <si>
    <t>Servicio de nómina y seguridad social S&amp;P</t>
  </si>
  <si>
    <t>Nómina quincena 2 (Primera MAR)</t>
  </si>
  <si>
    <t>Comisiones Nancy Rosalba Mora moreno Ventas (MAR)</t>
  </si>
  <si>
    <t>Digitación contable - (Alfonso Urrea)  (a cta Bancolombia)</t>
  </si>
  <si>
    <t>Revisoria Fiscal - ( José Luis Sanchez)</t>
  </si>
  <si>
    <t xml:space="preserve">Intereses S&amp;P </t>
  </si>
  <si>
    <t>Seguridad social Punto Medical</t>
  </si>
  <si>
    <t>Servicio de nómina y seguridad social S&amp;P 2021-2023</t>
  </si>
  <si>
    <t>Servicio de Nomina y Seguridad Social S&amp;P</t>
  </si>
  <si>
    <t>LABORATORIOS PHARMOR SAS</t>
  </si>
  <si>
    <t>INVERSIONES AMALGADENT SAS</t>
  </si>
  <si>
    <t>MEDIIMPULSO SAS</t>
  </si>
  <si>
    <t>DISPOSITIVOS MEDICOS G&amp;S SAS</t>
  </si>
  <si>
    <t>Nómina quincena 2 (Segunda ABR)</t>
  </si>
  <si>
    <t>Victor Gil 2° Quincena</t>
  </si>
  <si>
    <t>Mundo Express 2° Quincena</t>
  </si>
  <si>
    <t>BIPRONATURALS SAS</t>
  </si>
  <si>
    <t>Seguridad social PM</t>
  </si>
  <si>
    <t>Mundo Express 1° Quincena</t>
  </si>
  <si>
    <t>Jose Florez Saludia 1° Quincena</t>
  </si>
  <si>
    <t>Jose Florez Saludia 2° Quincena</t>
  </si>
  <si>
    <t>Victor Gil 1° Quincena</t>
  </si>
  <si>
    <t>Comisiones Nancy Rosalba Mora moreno Ventas (ABR)</t>
  </si>
  <si>
    <t>Comisiones Antonio Bernal Cardona (MAR)</t>
  </si>
  <si>
    <t>Comisiones Antonio Bernal Cardona (ABR)</t>
  </si>
  <si>
    <t>Comisiones Luz Stella Bernal Cardona (MAR)</t>
  </si>
  <si>
    <t>Comisiones Luz Stella Bernal Cardona (ABR)</t>
  </si>
  <si>
    <t>Pago de intereses préstamo de S&amp;P marzo 2023 a diciembre 2024</t>
  </si>
  <si>
    <t>Segunda dotacion 2026</t>
  </si>
  <si>
    <t>Nómina quincena 1 (Primera MAY)</t>
  </si>
  <si>
    <t>Intereses viejos (Obligatorio)</t>
  </si>
  <si>
    <t>Prestamo 150MM S&amp;P (Obligatorio)</t>
  </si>
  <si>
    <t>PLEIA</t>
  </si>
  <si>
    <t>Honorarios Contabilidad ACT&amp;J</t>
  </si>
  <si>
    <t>BONILLA PARRAGA ANDERSON STIVEN</t>
  </si>
  <si>
    <t>RTE IVA</t>
  </si>
  <si>
    <t>Comisiones Nancy Rosalba Mora moreno Ventas (MAY)</t>
  </si>
  <si>
    <t>Comisiones Antonio Bernal Cardona (MAY)</t>
  </si>
  <si>
    <t>Comisiones Luz Stella Bernal Cardona (MAY)</t>
  </si>
  <si>
    <t>Tarjeta de credito BANCOLOMBIA 10MM TC N°6065</t>
  </si>
  <si>
    <t>Nómina quincena 2 (Segunda MAYO)</t>
  </si>
  <si>
    <t>Nómina quincena 1 (Primera JUN)</t>
  </si>
  <si>
    <t>LA CASA DE LA SALUD DE BARRANQUILLA SAS</t>
  </si>
  <si>
    <t>BIOCHEM FARMACEUTICA DE COLOMBIA SA</t>
  </si>
  <si>
    <t>BIOPRONATURALS SAS</t>
  </si>
  <si>
    <t>LOIMPRO</t>
  </si>
  <si>
    <t>VELMORE DISTRIBUCIONES SAS</t>
  </si>
  <si>
    <t>LABORATORIOS NATURAL FRESHLY INFABO SA</t>
  </si>
  <si>
    <t>RTE FTE</t>
  </si>
  <si>
    <t>Energia Bodega nueva</t>
  </si>
  <si>
    <t>Pestamo Edward Forero 26MM (intereses) CUENTA DE COBRO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</si>
</sst>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\ #,##0.00;[Red]\-&quot;$&quot;\ #,##0.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wrapText="1" indent="1"/>
    </xf>
    <xf numFmtId="8" fontId="3" fillId="0" borderId="0" xfId="0" applyNumberFormat="1" applyFont="1" applyAlignment="1">
      <alignment vertical="top"/>
    </xf>
    <xf numFmtId="14" fontId="3" fillId="0" borderId="0" xfId="0" applyNumberFormat="1" applyFont="1"/>
    <xf numFmtId="8" fontId="2" fillId="0" borderId="0" xfId="0" applyNumberFormat="1" applyFont="1" applyAlignment="1">
      <alignment vertical="top"/>
    </xf>
    <xf numFmtId="0" fontId="3" fillId="0" borderId="0" xfId="0" applyFont="1" applyAlignment="1">
      <alignment horizontal="left" wrapText="1" indent="1"/>
    </xf>
    <xf numFmtId="14" fontId="2" fillId="0" borderId="0" xfId="0" applyNumberFormat="1" applyFont="1"/>
    <xf numFmtId="0" fontId="2" fillId="0" borderId="0" xfId="0" applyFont="1"/>
    <xf numFmtId="0" fontId="4" fillId="0" borderId="0" xfId="0" applyFont="1" applyAlignment="1">
      <alignment horizontal="center"/>
    </xf>
    <xf numFmtId="8" fontId="5" fillId="0" borderId="0" xfId="0" applyNumberFormat="1" applyFont="1" applyAlignment="1">
      <alignment vertical="top"/>
    </xf>
    <xf numFmtId="8" fontId="3" fillId="2" borderId="0" xfId="0" applyNumberFormat="1" applyFont="1" applyFill="1" applyAlignment="1">
      <alignment vertical="top"/>
    </xf>
    <xf numFmtId="0" fontId="2" fillId="2" borderId="0" xfId="0" applyFont="1" applyFill="1" applyAlignment="1">
      <alignment horizontal="left" wrapText="1" indent="1"/>
    </xf>
    <xf numFmtId="0" fontId="2" fillId="3" borderId="0" xfId="0" applyFont="1" applyFill="1" applyAlignment="1">
      <alignment horizontal="left" wrapText="1" indent="1"/>
    </xf>
    <xf numFmtId="8" fontId="3" fillId="3" borderId="0" xfId="0" applyNumberFormat="1" applyFont="1" applyFill="1" applyAlignment="1">
      <alignment vertical="top"/>
    </xf>
    <xf numFmtId="14" fontId="2" fillId="3" borderId="0" xfId="0" applyNumberFormat="1" applyFont="1" applyFill="1"/>
    <xf numFmtId="14" fontId="3" fillId="2" borderId="0" xfId="0" applyNumberFormat="1" applyFont="1" applyFill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80D05-B11A-4A7C-8C80-FA9D20C88B80}">
  <dimension ref="A1:E155"/>
  <sheetViews>
    <sheetView tabSelected="1" workbookViewId="0">
      <selection activeCell="K2" sqref="K2"/>
    </sheetView>
  </sheetViews>
  <sheetFormatPr baseColWidth="10" defaultRowHeight="15" customHeight="1" x14ac:dyDescent="0.3"/>
  <cols>
    <col min="1" max="1" width="11.21875" bestFit="1" customWidth="1"/>
    <col min="2" max="2" width="58.5546875" customWidth="1"/>
    <col min="3" max="3" width="15.109375" bestFit="1" customWidth="1"/>
    <col min="4" max="4" width="33.5546875" customWidth="1"/>
    <col min="5" max="5" width="13.77734375" customWidth="1"/>
  </cols>
  <sheetData>
    <row r="1" spans="1:5" ht="1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74</v>
      </c>
    </row>
    <row r="2" spans="1:5" ht="15" customHeight="1" x14ac:dyDescent="0.3">
      <c r="A2" s="3" t="s">
        <v>36</v>
      </c>
      <c r="B2" s="4" t="s">
        <v>46</v>
      </c>
      <c r="C2" s="12">
        <v>1088000</v>
      </c>
      <c r="D2" s="9">
        <v>46275</v>
      </c>
      <c r="E2" t="str">
        <f>VLOOKUP(B2,Hoja2!A:B,2,FALSE)</f>
        <v>OBLIGATORIO</v>
      </c>
    </row>
    <row r="3" spans="1:5" ht="15" customHeight="1" x14ac:dyDescent="0.3">
      <c r="A3" s="3" t="s">
        <v>36</v>
      </c>
      <c r="B3" s="4" t="s">
        <v>4</v>
      </c>
      <c r="C3" s="12">
        <v>1404000</v>
      </c>
      <c r="D3" s="6">
        <v>46224</v>
      </c>
      <c r="E3" t="str">
        <f>VLOOKUP(B3,Hoja2!A:B,2,FALSE)</f>
        <v>OBLIGATORIO</v>
      </c>
    </row>
    <row r="4" spans="1:5" ht="15" customHeight="1" x14ac:dyDescent="0.3">
      <c r="A4" s="3" t="s">
        <v>36</v>
      </c>
      <c r="B4" s="4" t="s">
        <v>48</v>
      </c>
      <c r="C4" s="12">
        <v>2200000</v>
      </c>
      <c r="D4" s="9">
        <v>46203</v>
      </c>
      <c r="E4" t="str">
        <f>VLOOKUP(B4,Hoja2!A:B,2,FALSE)</f>
        <v>OBLIGATORIO</v>
      </c>
    </row>
    <row r="5" spans="1:5" ht="15" customHeight="1" x14ac:dyDescent="0.3">
      <c r="A5" s="3" t="s">
        <v>36</v>
      </c>
      <c r="B5" s="8" t="s">
        <v>207</v>
      </c>
      <c r="C5" s="5">
        <v>2323000</v>
      </c>
      <c r="D5" s="9">
        <v>46188</v>
      </c>
      <c r="E5" t="str">
        <f>VLOOKUP(B5,Hoja2!A:B,2,FALSE)</f>
        <v>OBLIGATORIO</v>
      </c>
    </row>
    <row r="6" spans="1:5" ht="15" customHeight="1" x14ac:dyDescent="0.3">
      <c r="A6" s="3" t="s">
        <v>36</v>
      </c>
      <c r="B6" s="4" t="s">
        <v>51</v>
      </c>
      <c r="C6" s="5">
        <v>1895696.64</v>
      </c>
      <c r="D6" s="9">
        <v>46310</v>
      </c>
      <c r="E6" t="str">
        <f>VLOOKUP(B6,Hoja2!A:B,2,FALSE)</f>
        <v>MANEJABLE</v>
      </c>
    </row>
    <row r="7" spans="1:5" ht="15" customHeight="1" x14ac:dyDescent="0.3">
      <c r="A7" s="3" t="s">
        <v>36</v>
      </c>
      <c r="B7" s="4" t="s">
        <v>210</v>
      </c>
      <c r="C7" s="12">
        <v>2494617.23</v>
      </c>
      <c r="D7" s="9">
        <v>46127</v>
      </c>
      <c r="E7" t="str">
        <f>VLOOKUP(B7,Hoja2!A:B,2,FALSE)</f>
        <v>OBLIGATORIO</v>
      </c>
    </row>
    <row r="8" spans="1:5" ht="15" customHeight="1" x14ac:dyDescent="0.3">
      <c r="A8" s="3" t="s">
        <v>36</v>
      </c>
      <c r="B8" s="4" t="s">
        <v>211</v>
      </c>
      <c r="C8" s="12">
        <v>3341480.86</v>
      </c>
      <c r="D8" s="9">
        <v>46188</v>
      </c>
      <c r="E8" t="str">
        <f>VLOOKUP(B8,Hoja2!A:B,2,FALSE)</f>
        <v>OBLIGATORIO</v>
      </c>
    </row>
    <row r="9" spans="1:5" ht="15" customHeight="1" x14ac:dyDescent="0.3">
      <c r="A9" s="3" t="s">
        <v>36</v>
      </c>
      <c r="B9" s="4" t="s">
        <v>212</v>
      </c>
      <c r="C9" s="12">
        <v>796009.8</v>
      </c>
      <c r="D9" s="9">
        <v>46188</v>
      </c>
      <c r="E9" t="str">
        <f>VLOOKUP(B9,Hoja2!A:B,2,FALSE)</f>
        <v>OBLIGATORIO</v>
      </c>
    </row>
    <row r="10" spans="1:5" ht="15" customHeight="1" x14ac:dyDescent="0.3">
      <c r="A10" s="3" t="s">
        <v>36</v>
      </c>
      <c r="B10" s="4" t="s">
        <v>200</v>
      </c>
      <c r="C10" s="12">
        <v>796009.8</v>
      </c>
      <c r="D10" s="9">
        <v>46157</v>
      </c>
      <c r="E10" t="str">
        <f>VLOOKUP(B10,Hoja2!A:B,2,FALSE)</f>
        <v>IMPORTANTE</v>
      </c>
    </row>
    <row r="11" spans="1:5" ht="15" customHeight="1" x14ac:dyDescent="0.3">
      <c r="A11" s="3" t="s">
        <v>36</v>
      </c>
      <c r="B11" s="4" t="s">
        <v>54</v>
      </c>
      <c r="C11" s="12">
        <v>1605638.01</v>
      </c>
      <c r="D11" s="9">
        <v>46183</v>
      </c>
      <c r="E11" t="str">
        <f>VLOOKUP(B11,Hoja2!A:B,2,FALSE)</f>
        <v>IMPORTANTE</v>
      </c>
    </row>
    <row r="12" spans="1:5" ht="15" customHeight="1" x14ac:dyDescent="0.3">
      <c r="A12" s="3" t="s">
        <v>36</v>
      </c>
      <c r="B12" s="4" t="s">
        <v>201</v>
      </c>
      <c r="C12" s="7">
        <v>26832432</v>
      </c>
      <c r="D12" s="9">
        <v>45016</v>
      </c>
      <c r="E12" t="str">
        <f>VLOOKUP(B12,Hoja2!A:B,2,FALSE)</f>
        <v>IMPORTANTE</v>
      </c>
    </row>
    <row r="13" spans="1:5" ht="15" customHeight="1" x14ac:dyDescent="0.3">
      <c r="A13" s="3" t="s">
        <v>36</v>
      </c>
      <c r="B13" s="4" t="s">
        <v>204</v>
      </c>
      <c r="C13" s="5">
        <v>1770000</v>
      </c>
      <c r="D13" s="9">
        <v>46157</v>
      </c>
      <c r="E13" t="str">
        <f>VLOOKUP(B13,Hoja2!A:B,2,FALSE)</f>
        <v>OBLIGATORIO</v>
      </c>
    </row>
    <row r="14" spans="1:5" ht="15" customHeight="1" x14ac:dyDescent="0.3">
      <c r="A14" s="3" t="s">
        <v>36</v>
      </c>
      <c r="B14" s="4" t="s">
        <v>204</v>
      </c>
      <c r="C14" s="5">
        <v>1770000</v>
      </c>
      <c r="D14" s="9">
        <v>46188</v>
      </c>
      <c r="E14" t="str">
        <f>VLOOKUP(B14,Hoja2!A:B,2,FALSE)</f>
        <v>OBLIGATORIO</v>
      </c>
    </row>
    <row r="15" spans="1:5" ht="15" customHeight="1" x14ac:dyDescent="0.3">
      <c r="A15" s="3" t="s">
        <v>36</v>
      </c>
      <c r="B15" s="4" t="s">
        <v>205</v>
      </c>
      <c r="C15" s="5">
        <v>900000</v>
      </c>
      <c r="D15" s="9">
        <v>46157</v>
      </c>
      <c r="E15" t="str">
        <f>VLOOKUP(B15,Hoja2!A:B,2,FALSE)</f>
        <v>OBLIGATORIO</v>
      </c>
    </row>
    <row r="16" spans="1:5" ht="15" customHeight="1" x14ac:dyDescent="0.3">
      <c r="A16" s="3" t="s">
        <v>36</v>
      </c>
      <c r="B16" s="4" t="s">
        <v>205</v>
      </c>
      <c r="C16" s="5">
        <v>900000</v>
      </c>
      <c r="D16" s="9">
        <v>46188</v>
      </c>
      <c r="E16" t="str">
        <f>VLOOKUP(B16,Hoja2!A:B,2,FALSE)</f>
        <v>OBLIGATORIO</v>
      </c>
    </row>
    <row r="17" spans="1:5" ht="15" customHeight="1" x14ac:dyDescent="0.3">
      <c r="A17" s="3" t="s">
        <v>36</v>
      </c>
      <c r="B17" s="15" t="s">
        <v>162</v>
      </c>
      <c r="C17" s="16">
        <v>2430000</v>
      </c>
      <c r="D17" s="17">
        <v>46199</v>
      </c>
      <c r="E17" t="str">
        <f>VLOOKUP(B17,Hoja2!A:B,2,FALSE)</f>
        <v>OBLIGATORIO</v>
      </c>
    </row>
    <row r="18" spans="1:5" ht="15" customHeight="1" x14ac:dyDescent="0.3">
      <c r="A18" s="3" t="s">
        <v>36</v>
      </c>
      <c r="B18" s="14" t="s">
        <v>43</v>
      </c>
      <c r="C18" s="13">
        <v>600000</v>
      </c>
      <c r="D18" s="18">
        <v>46201</v>
      </c>
      <c r="E18" t="str">
        <f>VLOOKUP(B18,Hoja2!A:B,2,FALSE)</f>
        <v>OBLIGATORIO</v>
      </c>
    </row>
    <row r="19" spans="1:5" ht="15" customHeight="1" x14ac:dyDescent="0.3">
      <c r="A19" s="3" t="s">
        <v>36</v>
      </c>
      <c r="B19" s="4" t="s">
        <v>61</v>
      </c>
      <c r="C19" s="5">
        <v>351000</v>
      </c>
      <c r="D19" s="6">
        <v>46190</v>
      </c>
      <c r="E19" t="e">
        <f>VLOOKUP(B19,Hoja2!A:B,2,FALSE)</f>
        <v>#N/A</v>
      </c>
    </row>
    <row r="20" spans="1:5" ht="15" customHeight="1" x14ac:dyDescent="0.3">
      <c r="A20" s="3" t="s">
        <v>36</v>
      </c>
      <c r="B20" s="19" t="s">
        <v>181</v>
      </c>
      <c r="C20" s="5">
        <v>6969995.0899999999</v>
      </c>
      <c r="D20" s="6">
        <v>45046</v>
      </c>
      <c r="E20" t="str">
        <f>VLOOKUP(B20,Hoja2!A:B,2,FALSE)</f>
        <v>IMPORTANTE</v>
      </c>
    </row>
    <row r="21" spans="1:5" ht="15" customHeight="1" x14ac:dyDescent="0.3">
      <c r="A21" s="3" t="s">
        <v>36</v>
      </c>
      <c r="B21" s="4" t="s">
        <v>103</v>
      </c>
      <c r="C21" s="5">
        <v>3619204</v>
      </c>
      <c r="D21" s="9">
        <v>45311</v>
      </c>
      <c r="E21" t="str">
        <f>VLOOKUP(B21,Hoja2!A:B,2,FALSE)</f>
        <v>IMPORTANTE</v>
      </c>
    </row>
    <row r="22" spans="1:5" ht="15" customHeight="1" x14ac:dyDescent="0.3">
      <c r="A22" s="3" t="s">
        <v>36</v>
      </c>
      <c r="B22" s="4" t="s">
        <v>103</v>
      </c>
      <c r="C22" s="5">
        <v>2046152.27</v>
      </c>
      <c r="D22" s="9">
        <v>45342</v>
      </c>
      <c r="E22" t="str">
        <f>VLOOKUP(B22,Hoja2!A:B,2,FALSE)</f>
        <v>IMPORTANTE</v>
      </c>
    </row>
    <row r="23" spans="1:5" ht="15" customHeight="1" x14ac:dyDescent="0.3">
      <c r="A23" s="3" t="s">
        <v>36</v>
      </c>
      <c r="B23" s="4" t="s">
        <v>182</v>
      </c>
      <c r="C23" s="12">
        <v>3214020</v>
      </c>
      <c r="D23" s="9">
        <v>46182</v>
      </c>
      <c r="E23" t="str">
        <f>VLOOKUP(B23,Hoja2!A:B,2,FALSE)</f>
        <v>IMPORTANTE</v>
      </c>
    </row>
    <row r="24" spans="1:5" ht="15" customHeight="1" x14ac:dyDescent="0.3">
      <c r="A24" s="3" t="s">
        <v>36</v>
      </c>
      <c r="B24" s="4" t="s">
        <v>182</v>
      </c>
      <c r="C24" s="5">
        <v>3214020</v>
      </c>
      <c r="D24" s="9">
        <v>46151</v>
      </c>
      <c r="E24" t="str">
        <f>VLOOKUP(B24,Hoja2!A:B,2,FALSE)</f>
        <v>IMPORTANTE</v>
      </c>
    </row>
    <row r="25" spans="1:5" ht="15" customHeight="1" x14ac:dyDescent="0.3">
      <c r="A25" s="3" t="s">
        <v>36</v>
      </c>
      <c r="B25" s="4" t="s">
        <v>182</v>
      </c>
      <c r="C25" s="5">
        <v>4898166.4800000004</v>
      </c>
      <c r="D25" s="9">
        <v>46091</v>
      </c>
      <c r="E25" t="str">
        <f>VLOOKUP(B25,Hoja2!A:B,2,FALSE)</f>
        <v>IMPORTANTE</v>
      </c>
    </row>
    <row r="26" spans="1:5" ht="15" customHeight="1" x14ac:dyDescent="0.3">
      <c r="A26" s="3" t="s">
        <v>36</v>
      </c>
      <c r="B26" s="4" t="s">
        <v>182</v>
      </c>
      <c r="C26" s="5">
        <v>3214020</v>
      </c>
      <c r="D26" s="9">
        <v>46122</v>
      </c>
      <c r="E26" t="str">
        <f>VLOOKUP(B26,Hoja2!A:B,2,FALSE)</f>
        <v>IMPORTANTE</v>
      </c>
    </row>
    <row r="27" spans="1:5" ht="15" customHeight="1" x14ac:dyDescent="0.3">
      <c r="A27" s="3" t="s">
        <v>36</v>
      </c>
      <c r="B27" s="4" t="s">
        <v>65</v>
      </c>
      <c r="C27" s="12">
        <v>4409150</v>
      </c>
      <c r="D27" s="9">
        <v>46386</v>
      </c>
      <c r="E27" t="str">
        <f>VLOOKUP(B27,Hoja2!A:B,2,FALSE)</f>
        <v>OBLIGATORIO</v>
      </c>
    </row>
    <row r="28" spans="1:5" ht="15" customHeight="1" x14ac:dyDescent="0.3">
      <c r="A28" s="3" t="s">
        <v>36</v>
      </c>
      <c r="B28" s="4" t="s">
        <v>206</v>
      </c>
      <c r="C28" s="5">
        <v>350000</v>
      </c>
      <c r="D28" s="9">
        <v>46189</v>
      </c>
      <c r="E28" t="str">
        <f>VLOOKUP(B28,Hoja2!A:B,2,FALSE)</f>
        <v>OBLIGATORIO</v>
      </c>
    </row>
    <row r="29" spans="1:5" ht="15" customHeight="1" x14ac:dyDescent="0.3">
      <c r="A29" s="3" t="s">
        <v>36</v>
      </c>
      <c r="B29" s="4" t="s">
        <v>202</v>
      </c>
      <c r="C29" s="12">
        <v>919278</v>
      </c>
      <c r="D29" s="9">
        <v>46249</v>
      </c>
      <c r="E29" t="str">
        <f>VLOOKUP(B29,Hoja2!A:B,2,FALSE)</f>
        <v>OBLIGATORIO</v>
      </c>
    </row>
    <row r="30" spans="1:5" ht="15" customHeight="1" x14ac:dyDescent="0.3">
      <c r="A30" s="3" t="s">
        <v>36</v>
      </c>
      <c r="B30" s="4" t="s">
        <v>165</v>
      </c>
      <c r="C30" s="12">
        <v>20000000</v>
      </c>
      <c r="D30" s="9">
        <v>46431</v>
      </c>
      <c r="E30" t="str">
        <f>VLOOKUP(B30,Hoja2!A:B,2,FALSE)</f>
        <v>OBLIGATORIO</v>
      </c>
    </row>
    <row r="31" spans="1:5" ht="15" customHeight="1" x14ac:dyDescent="0.3">
      <c r="A31" s="11" t="s">
        <v>85</v>
      </c>
      <c r="B31" s="4" t="s">
        <v>7</v>
      </c>
      <c r="C31" s="7">
        <v>471000</v>
      </c>
      <c r="D31" s="6">
        <v>45919</v>
      </c>
      <c r="E31" t="str">
        <f>VLOOKUP(B31,Hoja2!A:B,2,FALSE)</f>
        <v>MANEJABLE</v>
      </c>
    </row>
    <row r="32" spans="1:5" ht="15" customHeight="1" x14ac:dyDescent="0.3">
      <c r="A32" s="11" t="s">
        <v>85</v>
      </c>
      <c r="B32" s="4" t="s">
        <v>7</v>
      </c>
      <c r="C32" s="7">
        <v>100000</v>
      </c>
      <c r="D32" s="6">
        <v>45923</v>
      </c>
      <c r="E32" t="str">
        <f>VLOOKUP(B32,Hoja2!A:B,2,FALSE)</f>
        <v>MANEJABLE</v>
      </c>
    </row>
    <row r="33" spans="1:5" ht="15" customHeight="1" x14ac:dyDescent="0.3">
      <c r="A33" s="11" t="s">
        <v>85</v>
      </c>
      <c r="B33" s="4" t="s">
        <v>171</v>
      </c>
      <c r="C33" s="7">
        <v>1089800</v>
      </c>
      <c r="D33" s="6">
        <v>46178</v>
      </c>
      <c r="E33" t="str">
        <f>VLOOKUP(B33,Hoja2!A:B,2,FALSE)</f>
        <v>IMPORTANTE</v>
      </c>
    </row>
    <row r="34" spans="1:5" ht="15" customHeight="1" x14ac:dyDescent="0.3">
      <c r="A34" s="11" t="s">
        <v>85</v>
      </c>
      <c r="B34" s="4" t="s">
        <v>10</v>
      </c>
      <c r="C34" s="7">
        <v>4335486</v>
      </c>
      <c r="D34" s="6">
        <v>46179</v>
      </c>
      <c r="E34" t="str">
        <f>VLOOKUP(B34,Hoja2!A:B,2,FALSE)</f>
        <v>IMPORTANTE</v>
      </c>
    </row>
    <row r="35" spans="1:5" ht="15" customHeight="1" x14ac:dyDescent="0.3">
      <c r="A35" s="11" t="s">
        <v>85</v>
      </c>
      <c r="B35" s="4" t="s">
        <v>11</v>
      </c>
      <c r="C35" s="7">
        <v>3834310</v>
      </c>
      <c r="D35" s="6">
        <v>46187</v>
      </c>
      <c r="E35" t="str">
        <f>VLOOKUP(B35,Hoja2!A:B,2,FALSE)</f>
        <v>OBLIGATORIO</v>
      </c>
    </row>
    <row r="36" spans="1:5" ht="15" customHeight="1" x14ac:dyDescent="0.3">
      <c r="A36" s="11" t="s">
        <v>85</v>
      </c>
      <c r="B36" s="4" t="s">
        <v>11</v>
      </c>
      <c r="C36" s="7">
        <v>14114953</v>
      </c>
      <c r="D36" s="6">
        <v>46187</v>
      </c>
      <c r="E36" t="str">
        <f>VLOOKUP(B36,Hoja2!A:B,2,FALSE)</f>
        <v>OBLIGATORIO</v>
      </c>
    </row>
    <row r="37" spans="1:5" ht="15" customHeight="1" x14ac:dyDescent="0.3">
      <c r="A37" s="11" t="s">
        <v>85</v>
      </c>
      <c r="B37" s="4" t="s">
        <v>11</v>
      </c>
      <c r="C37" s="7">
        <v>1289435</v>
      </c>
      <c r="D37" s="6">
        <v>46192</v>
      </c>
      <c r="E37" t="str">
        <f>VLOOKUP(B37,Hoja2!A:B,2,FALSE)</f>
        <v>OBLIGATORIO</v>
      </c>
    </row>
    <row r="38" spans="1:5" ht="15" customHeight="1" x14ac:dyDescent="0.3">
      <c r="A38" s="11" t="s">
        <v>85</v>
      </c>
      <c r="B38" s="4" t="s">
        <v>219</v>
      </c>
      <c r="C38" s="7">
        <v>3103600</v>
      </c>
      <c r="D38" s="6">
        <v>46193</v>
      </c>
      <c r="E38" t="str">
        <f>VLOOKUP(B38,Hoja2!A:B,2,FALSE)</f>
        <v>IMPORTANTE</v>
      </c>
    </row>
    <row r="39" spans="1:5" ht="15" customHeight="1" x14ac:dyDescent="0.3">
      <c r="A39" s="11" t="s">
        <v>85</v>
      </c>
      <c r="B39" s="4" t="s">
        <v>34</v>
      </c>
      <c r="C39" s="7">
        <v>1660029</v>
      </c>
      <c r="D39" s="6">
        <v>46194</v>
      </c>
      <c r="E39" t="str">
        <f>VLOOKUP(B39,Hoja2!A:B,2,FALSE)</f>
        <v>IMPORTANTE</v>
      </c>
    </row>
    <row r="40" spans="1:5" ht="15" customHeight="1" x14ac:dyDescent="0.3">
      <c r="A40" s="11" t="s">
        <v>85</v>
      </c>
      <c r="B40" s="4" t="s">
        <v>11</v>
      </c>
      <c r="C40" s="7">
        <v>3306222</v>
      </c>
      <c r="D40" s="6">
        <v>46195</v>
      </c>
      <c r="E40" t="str">
        <f>VLOOKUP(B40,Hoja2!A:B,2,FALSE)</f>
        <v>OBLIGATORIO</v>
      </c>
    </row>
    <row r="41" spans="1:5" ht="15" customHeight="1" x14ac:dyDescent="0.3">
      <c r="A41" s="11" t="s">
        <v>85</v>
      </c>
      <c r="B41" s="4" t="s">
        <v>11</v>
      </c>
      <c r="C41" s="7">
        <v>396900</v>
      </c>
      <c r="D41" s="6">
        <v>46195</v>
      </c>
      <c r="E41" t="str">
        <f>VLOOKUP(B41,Hoja2!A:B,2,FALSE)</f>
        <v>OBLIGATORIO</v>
      </c>
    </row>
    <row r="42" spans="1:5" ht="15" customHeight="1" x14ac:dyDescent="0.3">
      <c r="A42" s="11" t="s">
        <v>85</v>
      </c>
      <c r="B42" s="4" t="s">
        <v>13</v>
      </c>
      <c r="C42" s="7">
        <v>6944488</v>
      </c>
      <c r="D42" s="6">
        <v>46200</v>
      </c>
      <c r="E42" t="str">
        <f>VLOOKUP(B42,Hoja2!A:B,2,FALSE)</f>
        <v>IMPORTANTE</v>
      </c>
    </row>
    <row r="43" spans="1:5" ht="15" customHeight="1" x14ac:dyDescent="0.3">
      <c r="A43" s="11" t="s">
        <v>85</v>
      </c>
      <c r="B43" s="4" t="s">
        <v>10</v>
      </c>
      <c r="C43" s="7">
        <v>3788796</v>
      </c>
      <c r="D43" s="6">
        <v>46200</v>
      </c>
      <c r="E43" t="str">
        <f>VLOOKUP(B43,Hoja2!A:B,2,FALSE)</f>
        <v>IMPORTANTE</v>
      </c>
    </row>
    <row r="44" spans="1:5" ht="15" customHeight="1" x14ac:dyDescent="0.3">
      <c r="A44" s="11" t="s">
        <v>85</v>
      </c>
      <c r="B44" s="4" t="s">
        <v>13</v>
      </c>
      <c r="C44" s="7">
        <v>15847744</v>
      </c>
      <c r="D44" s="6">
        <v>46201</v>
      </c>
      <c r="E44" t="str">
        <f>VLOOKUP(B44,Hoja2!A:B,2,FALSE)</f>
        <v>IMPORTANTE</v>
      </c>
    </row>
    <row r="45" spans="1:5" ht="15" customHeight="1" x14ac:dyDescent="0.3">
      <c r="A45" s="11" t="s">
        <v>85</v>
      </c>
      <c r="B45" s="4" t="s">
        <v>12</v>
      </c>
      <c r="C45" s="7">
        <v>72487206</v>
      </c>
      <c r="D45" s="6">
        <v>46201</v>
      </c>
      <c r="E45" t="str">
        <f>VLOOKUP(B45,Hoja2!A:B,2,FALSE)</f>
        <v>MANEJABLE</v>
      </c>
    </row>
    <row r="46" spans="1:5" ht="15" customHeight="1" x14ac:dyDescent="0.3">
      <c r="A46" s="11" t="s">
        <v>85</v>
      </c>
      <c r="B46" s="4" t="s">
        <v>11</v>
      </c>
      <c r="C46" s="7">
        <v>13999978</v>
      </c>
      <c r="D46" s="6">
        <v>46203</v>
      </c>
      <c r="E46" t="str">
        <f>VLOOKUP(B46,Hoja2!A:B,2,FALSE)</f>
        <v>OBLIGATORIO</v>
      </c>
    </row>
    <row r="47" spans="1:5" ht="15" customHeight="1" x14ac:dyDescent="0.3">
      <c r="A47" s="11" t="s">
        <v>85</v>
      </c>
      <c r="B47" s="4" t="s">
        <v>110</v>
      </c>
      <c r="C47" s="7">
        <v>1237497</v>
      </c>
      <c r="D47" s="6">
        <v>46205</v>
      </c>
      <c r="E47" t="str">
        <f>VLOOKUP(B47,Hoja2!A:B,2,FALSE)</f>
        <v>IMPORTANTE</v>
      </c>
    </row>
    <row r="48" spans="1:5" ht="15" customHeight="1" x14ac:dyDescent="0.3">
      <c r="A48" s="11" t="s">
        <v>85</v>
      </c>
      <c r="B48" s="4" t="s">
        <v>218</v>
      </c>
      <c r="C48" s="7">
        <v>4458118.83</v>
      </c>
      <c r="D48" s="6">
        <v>46206</v>
      </c>
      <c r="E48" t="str">
        <f>VLOOKUP(B48,Hoja2!A:B,2,FALSE)</f>
        <v>IMPORTANTE</v>
      </c>
    </row>
    <row r="49" spans="1:5" ht="15" customHeight="1" x14ac:dyDescent="0.3">
      <c r="A49" s="11" t="s">
        <v>85</v>
      </c>
      <c r="B49" s="4" t="s">
        <v>33</v>
      </c>
      <c r="C49" s="7">
        <v>2632011</v>
      </c>
      <c r="D49" s="6">
        <v>46206</v>
      </c>
      <c r="E49" t="str">
        <f>VLOOKUP(B49,Hoja2!A:B,2,FALSE)</f>
        <v>MANEJABLE</v>
      </c>
    </row>
    <row r="50" spans="1:5" ht="15" customHeight="1" x14ac:dyDescent="0.3">
      <c r="A50" s="11" t="s">
        <v>85</v>
      </c>
      <c r="B50" s="4" t="s">
        <v>16</v>
      </c>
      <c r="C50" s="7">
        <v>6005927</v>
      </c>
      <c r="D50" s="6">
        <v>46207</v>
      </c>
      <c r="E50" t="str">
        <f>VLOOKUP(B50,Hoja2!A:B,2,FALSE)</f>
        <v>IMPORTANTE</v>
      </c>
    </row>
    <row r="51" spans="1:5" ht="15" customHeight="1" x14ac:dyDescent="0.3">
      <c r="A51" s="11" t="s">
        <v>85</v>
      </c>
      <c r="B51" s="4" t="s">
        <v>220</v>
      </c>
      <c r="C51" s="7">
        <v>6505980</v>
      </c>
      <c r="D51" s="6">
        <v>46207</v>
      </c>
      <c r="E51" t="str">
        <f>VLOOKUP(B51,Hoja2!A:B,2,FALSE)</f>
        <v>OBLIGATORIO</v>
      </c>
    </row>
    <row r="52" spans="1:5" ht="15" customHeight="1" x14ac:dyDescent="0.3">
      <c r="A52" s="11" t="s">
        <v>85</v>
      </c>
      <c r="B52" s="4" t="s">
        <v>93</v>
      </c>
      <c r="C52" s="7">
        <v>3243121</v>
      </c>
      <c r="D52" s="6">
        <v>46207</v>
      </c>
      <c r="E52" t="str">
        <f>VLOOKUP(B52,Hoja2!A:B,2,FALSE)</f>
        <v>OBLIGATORIO</v>
      </c>
    </row>
    <row r="53" spans="1:5" ht="15" customHeight="1" x14ac:dyDescent="0.3">
      <c r="A53" s="11" t="s">
        <v>85</v>
      </c>
      <c r="B53" s="4" t="s">
        <v>93</v>
      </c>
      <c r="C53" s="7">
        <v>5551896</v>
      </c>
      <c r="D53" s="6">
        <v>46207</v>
      </c>
      <c r="E53" t="str">
        <f>VLOOKUP(B53,Hoja2!A:B,2,FALSE)</f>
        <v>OBLIGATORIO</v>
      </c>
    </row>
    <row r="54" spans="1:5" ht="15" customHeight="1" x14ac:dyDescent="0.3">
      <c r="A54" s="11" t="s">
        <v>85</v>
      </c>
      <c r="B54" s="4" t="s">
        <v>93</v>
      </c>
      <c r="C54" s="7">
        <v>5562700</v>
      </c>
      <c r="D54" s="6">
        <v>46207</v>
      </c>
      <c r="E54" t="str">
        <f>VLOOKUP(B54,Hoja2!A:B,2,FALSE)</f>
        <v>OBLIGATORIO</v>
      </c>
    </row>
    <row r="55" spans="1:5" ht="15" customHeight="1" x14ac:dyDescent="0.3">
      <c r="A55" s="11" t="s">
        <v>85</v>
      </c>
      <c r="B55" s="4" t="s">
        <v>93</v>
      </c>
      <c r="C55" s="7">
        <v>6422278</v>
      </c>
      <c r="D55" s="6">
        <v>46210</v>
      </c>
      <c r="E55" t="str">
        <f>VLOOKUP(B55,Hoja2!A:B,2,FALSE)</f>
        <v>OBLIGATORIO</v>
      </c>
    </row>
    <row r="56" spans="1:5" ht="15" customHeight="1" x14ac:dyDescent="0.3">
      <c r="A56" s="11" t="s">
        <v>85</v>
      </c>
      <c r="B56" s="4" t="s">
        <v>25</v>
      </c>
      <c r="C56" s="7">
        <v>14976000</v>
      </c>
      <c r="D56" s="6">
        <v>46215</v>
      </c>
      <c r="E56" t="str">
        <f>VLOOKUP(B56,Hoja2!A:B,2,FALSE)</f>
        <v>OBLIGATORIO</v>
      </c>
    </row>
    <row r="57" spans="1:5" ht="15" customHeight="1" x14ac:dyDescent="0.3">
      <c r="A57" s="11" t="s">
        <v>85</v>
      </c>
      <c r="B57" s="4" t="s">
        <v>16</v>
      </c>
      <c r="C57" s="7">
        <v>4900587</v>
      </c>
      <c r="D57" s="6">
        <v>46216</v>
      </c>
      <c r="E57" t="str">
        <f>VLOOKUP(B57,Hoja2!A:B,2,FALSE)</f>
        <v>IMPORTANTE</v>
      </c>
    </row>
    <row r="58" spans="1:5" ht="15" customHeight="1" x14ac:dyDescent="0.3">
      <c r="A58" s="11" t="s">
        <v>85</v>
      </c>
      <c r="B58" s="4" t="s">
        <v>16</v>
      </c>
      <c r="C58" s="7">
        <v>13660795</v>
      </c>
      <c r="D58" s="6">
        <v>46216</v>
      </c>
      <c r="E58" t="str">
        <f>VLOOKUP(B58,Hoja2!A:B,2,FALSE)</f>
        <v>IMPORTANTE</v>
      </c>
    </row>
    <row r="59" spans="1:5" ht="15" customHeight="1" x14ac:dyDescent="0.3">
      <c r="A59" s="11" t="s">
        <v>85</v>
      </c>
      <c r="B59" s="4" t="s">
        <v>93</v>
      </c>
      <c r="C59" s="7">
        <v>19015920</v>
      </c>
      <c r="D59" s="6">
        <v>46216</v>
      </c>
      <c r="E59" t="str">
        <f>VLOOKUP(B59,Hoja2!A:B,2,FALSE)</f>
        <v>OBLIGATORIO</v>
      </c>
    </row>
    <row r="60" spans="1:5" ht="15" customHeight="1" x14ac:dyDescent="0.3">
      <c r="A60" s="11" t="s">
        <v>85</v>
      </c>
      <c r="B60" s="4" t="s">
        <v>11</v>
      </c>
      <c r="C60" s="7">
        <v>11583123</v>
      </c>
      <c r="D60" s="6">
        <v>46216</v>
      </c>
      <c r="E60" t="str">
        <f>VLOOKUP(B60,Hoja2!A:B,2,FALSE)</f>
        <v>OBLIGATORIO</v>
      </c>
    </row>
    <row r="61" spans="1:5" ht="15" customHeight="1" x14ac:dyDescent="0.3">
      <c r="A61" s="11" t="s">
        <v>85</v>
      </c>
      <c r="B61" s="4" t="s">
        <v>93</v>
      </c>
      <c r="C61" s="7">
        <v>2678530</v>
      </c>
      <c r="D61" s="6">
        <v>46216</v>
      </c>
      <c r="E61" t="str">
        <f>VLOOKUP(B61,Hoja2!A:B,2,FALSE)</f>
        <v>OBLIGATORIO</v>
      </c>
    </row>
    <row r="62" spans="1:5" ht="15" customHeight="1" x14ac:dyDescent="0.3">
      <c r="A62" s="11" t="s">
        <v>85</v>
      </c>
      <c r="B62" s="4" t="s">
        <v>106</v>
      </c>
      <c r="C62" s="7">
        <v>8231375</v>
      </c>
      <c r="D62" s="6">
        <v>46219</v>
      </c>
      <c r="E62" t="str">
        <f>VLOOKUP(B62,Hoja2!A:B,2,FALSE)</f>
        <v>OBLIGATORIO</v>
      </c>
    </row>
    <row r="63" spans="1:5" ht="15" customHeight="1" x14ac:dyDescent="0.3">
      <c r="A63" s="11" t="s">
        <v>85</v>
      </c>
      <c r="B63" s="4" t="s">
        <v>24</v>
      </c>
      <c r="C63" s="7">
        <v>15687738</v>
      </c>
      <c r="D63" s="6">
        <v>46220</v>
      </c>
      <c r="E63" t="str">
        <f>VLOOKUP(B63,Hoja2!A:B,2,FALSE)</f>
        <v>OBLIGATORIO</v>
      </c>
    </row>
    <row r="64" spans="1:5" ht="15" customHeight="1" x14ac:dyDescent="0.3">
      <c r="A64" s="11" t="s">
        <v>85</v>
      </c>
      <c r="B64" s="4" t="s">
        <v>29</v>
      </c>
      <c r="C64" s="7">
        <v>1830900</v>
      </c>
      <c r="D64" s="6">
        <v>46220</v>
      </c>
      <c r="E64" t="str">
        <f>VLOOKUP(B64,Hoja2!A:B,2,FALSE)</f>
        <v>OBLIGATORIO</v>
      </c>
    </row>
    <row r="65" spans="1:5" ht="15" customHeight="1" x14ac:dyDescent="0.3">
      <c r="A65" s="11" t="s">
        <v>85</v>
      </c>
      <c r="B65" s="4" t="s">
        <v>29</v>
      </c>
      <c r="C65" s="7">
        <v>5475000</v>
      </c>
      <c r="D65" s="6">
        <v>46220</v>
      </c>
      <c r="E65" t="str">
        <f>VLOOKUP(B65,Hoja2!A:B,2,FALSE)</f>
        <v>OBLIGATORIO</v>
      </c>
    </row>
    <row r="66" spans="1:5" ht="15" customHeight="1" x14ac:dyDescent="0.3">
      <c r="A66" s="11" t="s">
        <v>85</v>
      </c>
      <c r="B66" s="4" t="s">
        <v>11</v>
      </c>
      <c r="C66" s="7">
        <v>7675252</v>
      </c>
      <c r="D66" s="6">
        <v>46220</v>
      </c>
      <c r="E66" t="str">
        <f>VLOOKUP(B66,Hoja2!A:B,2,FALSE)</f>
        <v>OBLIGATORIO</v>
      </c>
    </row>
    <row r="67" spans="1:5" ht="15" customHeight="1" x14ac:dyDescent="0.3">
      <c r="A67" s="11" t="s">
        <v>85</v>
      </c>
      <c r="B67" s="4" t="s">
        <v>29</v>
      </c>
      <c r="C67" s="7">
        <v>4972800</v>
      </c>
      <c r="D67" s="6">
        <v>46222</v>
      </c>
      <c r="E67" t="str">
        <f>VLOOKUP(B67,Hoja2!A:B,2,FALSE)</f>
        <v>OBLIGATORIO</v>
      </c>
    </row>
    <row r="68" spans="1:5" ht="15" customHeight="1" x14ac:dyDescent="0.3">
      <c r="A68" s="11" t="s">
        <v>85</v>
      </c>
      <c r="B68" s="4" t="s">
        <v>25</v>
      </c>
      <c r="C68" s="7">
        <v>4400000</v>
      </c>
      <c r="D68" s="6">
        <v>46222</v>
      </c>
      <c r="E68" t="str">
        <f>VLOOKUP(B68,Hoja2!A:B,2,FALSE)</f>
        <v>OBLIGATORIO</v>
      </c>
    </row>
    <row r="69" spans="1:5" ht="15" customHeight="1" x14ac:dyDescent="0.3">
      <c r="A69" s="11" t="s">
        <v>85</v>
      </c>
      <c r="B69" s="4" t="s">
        <v>29</v>
      </c>
      <c r="C69" s="7">
        <v>12554860</v>
      </c>
      <c r="D69" s="6">
        <v>46222</v>
      </c>
      <c r="E69" t="str">
        <f>VLOOKUP(B69,Hoja2!A:B,2,FALSE)</f>
        <v>OBLIGATORIO</v>
      </c>
    </row>
    <row r="70" spans="1:5" ht="15" customHeight="1" x14ac:dyDescent="0.3">
      <c r="A70" s="11" t="s">
        <v>85</v>
      </c>
      <c r="B70" s="4" t="s">
        <v>29</v>
      </c>
      <c r="C70" s="7">
        <v>1229427</v>
      </c>
      <c r="D70" s="6">
        <v>46222</v>
      </c>
      <c r="E70" t="str">
        <f>VLOOKUP(B70,Hoja2!A:B,2,FALSE)</f>
        <v>OBLIGATORIO</v>
      </c>
    </row>
    <row r="71" spans="1:5" ht="15" customHeight="1" x14ac:dyDescent="0.3">
      <c r="A71" s="11" t="s">
        <v>85</v>
      </c>
      <c r="B71" s="4" t="s">
        <v>14</v>
      </c>
      <c r="C71" s="7">
        <v>1863452</v>
      </c>
      <c r="D71" s="6">
        <v>46222</v>
      </c>
      <c r="E71" t="str">
        <f>VLOOKUP(B71,Hoja2!A:B,2,FALSE)</f>
        <v>IMPORTANTE</v>
      </c>
    </row>
    <row r="72" spans="1:5" ht="15" customHeight="1" x14ac:dyDescent="0.3">
      <c r="A72" s="11" t="s">
        <v>85</v>
      </c>
      <c r="B72" s="4" t="s">
        <v>17</v>
      </c>
      <c r="C72" s="7">
        <v>1333138</v>
      </c>
      <c r="D72" s="6">
        <v>46222</v>
      </c>
      <c r="E72" t="str">
        <f>VLOOKUP(B72,Hoja2!A:B,2,FALSE)</f>
        <v>IMPORTANTE</v>
      </c>
    </row>
    <row r="73" spans="1:5" ht="15" customHeight="1" x14ac:dyDescent="0.3">
      <c r="A73" s="11" t="s">
        <v>85</v>
      </c>
      <c r="B73" s="4" t="s">
        <v>11</v>
      </c>
      <c r="C73" s="7">
        <v>7090327</v>
      </c>
      <c r="D73" s="6">
        <v>46222</v>
      </c>
      <c r="E73" t="str">
        <f>VLOOKUP(B73,Hoja2!A:B,2,FALSE)</f>
        <v>OBLIGATORIO</v>
      </c>
    </row>
    <row r="74" spans="1:5" ht="15" customHeight="1" x14ac:dyDescent="0.3">
      <c r="A74" s="11" t="s">
        <v>85</v>
      </c>
      <c r="B74" s="4" t="s">
        <v>11</v>
      </c>
      <c r="C74" s="7">
        <v>54025062</v>
      </c>
      <c r="D74" s="6">
        <v>46222</v>
      </c>
      <c r="E74" t="str">
        <f>VLOOKUP(B74,Hoja2!A:B,2,FALSE)</f>
        <v>OBLIGATORIO</v>
      </c>
    </row>
    <row r="75" spans="1:5" ht="15" customHeight="1" x14ac:dyDescent="0.3">
      <c r="A75" s="11" t="s">
        <v>85</v>
      </c>
      <c r="B75" s="4" t="s">
        <v>11</v>
      </c>
      <c r="C75" s="7">
        <v>21001495</v>
      </c>
      <c r="D75" s="6">
        <v>46222</v>
      </c>
      <c r="E75" t="str">
        <f>VLOOKUP(B75,Hoja2!A:B,2,FALSE)</f>
        <v>OBLIGATORIO</v>
      </c>
    </row>
    <row r="76" spans="1:5" ht="15" customHeight="1" x14ac:dyDescent="0.3">
      <c r="A76" s="11" t="s">
        <v>85</v>
      </c>
      <c r="B76" s="4" t="s">
        <v>217</v>
      </c>
      <c r="C76" s="7">
        <v>1766992</v>
      </c>
      <c r="D76" s="6">
        <v>46223</v>
      </c>
      <c r="E76" t="str">
        <f>VLOOKUP(B76,Hoja2!A:B,2,FALSE)</f>
        <v>IMPORTANTE</v>
      </c>
    </row>
    <row r="77" spans="1:5" ht="15" customHeight="1" x14ac:dyDescent="0.3">
      <c r="A77" s="11" t="s">
        <v>85</v>
      </c>
      <c r="B77" s="4" t="s">
        <v>18</v>
      </c>
      <c r="C77" s="7">
        <v>9458622</v>
      </c>
      <c r="D77" s="6">
        <v>46223</v>
      </c>
      <c r="E77" t="str">
        <f>VLOOKUP(B77,Hoja2!A:B,2,FALSE)</f>
        <v>OBLIGATORIO</v>
      </c>
    </row>
    <row r="78" spans="1:5" ht="15" customHeight="1" x14ac:dyDescent="0.3">
      <c r="A78" s="11" t="s">
        <v>85</v>
      </c>
      <c r="B78" s="4" t="s">
        <v>11</v>
      </c>
      <c r="C78" s="7">
        <v>3939224</v>
      </c>
      <c r="D78" s="6">
        <v>46223</v>
      </c>
      <c r="E78" t="str">
        <f>VLOOKUP(B78,Hoja2!A:B,2,FALSE)</f>
        <v>OBLIGATORIO</v>
      </c>
    </row>
    <row r="79" spans="1:5" ht="15" customHeight="1" x14ac:dyDescent="0.3">
      <c r="A79" s="11" t="s">
        <v>85</v>
      </c>
      <c r="B79" s="4" t="s">
        <v>18</v>
      </c>
      <c r="C79" s="7">
        <v>13038163</v>
      </c>
      <c r="D79" s="6">
        <v>46224</v>
      </c>
      <c r="E79" t="str">
        <f>VLOOKUP(B79,Hoja2!A:B,2,FALSE)</f>
        <v>OBLIGATORIO</v>
      </c>
    </row>
    <row r="80" spans="1:5" ht="15" customHeight="1" x14ac:dyDescent="0.3">
      <c r="A80" s="11" t="s">
        <v>85</v>
      </c>
      <c r="B80" s="4" t="s">
        <v>18</v>
      </c>
      <c r="C80" s="7">
        <v>3819533</v>
      </c>
      <c r="D80" s="6">
        <v>46224</v>
      </c>
      <c r="E80" t="str">
        <f>VLOOKUP(B80,Hoja2!A:B,2,FALSE)</f>
        <v>OBLIGATORIO</v>
      </c>
    </row>
    <row r="81" spans="1:5" ht="15" customHeight="1" x14ac:dyDescent="0.3">
      <c r="A81" s="11" t="s">
        <v>85</v>
      </c>
      <c r="B81" s="4" t="s">
        <v>18</v>
      </c>
      <c r="C81" s="7">
        <v>9628990</v>
      </c>
      <c r="D81" s="6">
        <v>46224</v>
      </c>
      <c r="E81" t="str">
        <f>VLOOKUP(B81,Hoja2!A:B,2,FALSE)</f>
        <v>OBLIGATORIO</v>
      </c>
    </row>
    <row r="82" spans="1:5" ht="15" customHeight="1" x14ac:dyDescent="0.3">
      <c r="A82" s="11" t="s">
        <v>85</v>
      </c>
      <c r="B82" s="4" t="s">
        <v>83</v>
      </c>
      <c r="C82" s="7">
        <v>3342421</v>
      </c>
      <c r="D82" s="6">
        <v>46225</v>
      </c>
      <c r="E82" t="str">
        <f>VLOOKUP(B82,Hoja2!A:B,2,FALSE)</f>
        <v>IMPORTANTE</v>
      </c>
    </row>
    <row r="83" spans="1:5" ht="15" customHeight="1" x14ac:dyDescent="0.3">
      <c r="A83" s="11" t="s">
        <v>85</v>
      </c>
      <c r="B83" s="4" t="s">
        <v>30</v>
      </c>
      <c r="C83" s="7">
        <v>3146128</v>
      </c>
      <c r="D83" s="6">
        <v>46225</v>
      </c>
      <c r="E83" t="str">
        <f>VLOOKUP(B83,Hoja2!A:B,2,FALSE)</f>
        <v>OBLIGATORIO</v>
      </c>
    </row>
    <row r="84" spans="1:5" ht="15" customHeight="1" x14ac:dyDescent="0.3">
      <c r="A84" s="11" t="s">
        <v>85</v>
      </c>
      <c r="B84" s="4" t="s">
        <v>23</v>
      </c>
      <c r="C84" s="7">
        <v>1518819</v>
      </c>
      <c r="D84" s="6">
        <v>46227</v>
      </c>
      <c r="E84" t="str">
        <f>VLOOKUP(B84,Hoja2!A:B,2,FALSE)</f>
        <v>OBLIGATORIO</v>
      </c>
    </row>
    <row r="85" spans="1:5" ht="15" customHeight="1" x14ac:dyDescent="0.3">
      <c r="A85" s="11" t="s">
        <v>85</v>
      </c>
      <c r="B85" s="4" t="s">
        <v>25</v>
      </c>
      <c r="C85" s="7">
        <v>1212449</v>
      </c>
      <c r="D85" s="6">
        <v>46227</v>
      </c>
      <c r="E85" t="str">
        <f>VLOOKUP(B85,Hoja2!A:B,2,FALSE)</f>
        <v>OBLIGATORIO</v>
      </c>
    </row>
    <row r="86" spans="1:5" ht="15" customHeight="1" x14ac:dyDescent="0.3">
      <c r="A86" s="11" t="s">
        <v>85</v>
      </c>
      <c r="B86" s="4" t="s">
        <v>16</v>
      </c>
      <c r="C86" s="7">
        <v>6370031</v>
      </c>
      <c r="D86" s="6">
        <v>46228</v>
      </c>
      <c r="E86" t="str">
        <f>VLOOKUP(B86,Hoja2!A:B,2,FALSE)</f>
        <v>IMPORTANTE</v>
      </c>
    </row>
    <row r="87" spans="1:5" ht="15" customHeight="1" x14ac:dyDescent="0.3">
      <c r="A87" s="11" t="s">
        <v>85</v>
      </c>
      <c r="B87" s="4" t="s">
        <v>16</v>
      </c>
      <c r="C87" s="7">
        <v>4015244</v>
      </c>
      <c r="D87" s="6">
        <v>46228</v>
      </c>
      <c r="E87" t="str">
        <f>VLOOKUP(B87,Hoja2!A:B,2,FALSE)</f>
        <v>IMPORTANTE</v>
      </c>
    </row>
    <row r="88" spans="1:5" ht="15" customHeight="1" x14ac:dyDescent="0.3">
      <c r="A88" s="11" t="s">
        <v>85</v>
      </c>
      <c r="B88" s="4" t="s">
        <v>25</v>
      </c>
      <c r="C88" s="7">
        <v>398400</v>
      </c>
      <c r="D88" s="6">
        <v>46229</v>
      </c>
      <c r="E88" t="str">
        <f>VLOOKUP(B88,Hoja2!A:B,2,FALSE)</f>
        <v>OBLIGATORIO</v>
      </c>
    </row>
    <row r="89" spans="1:5" ht="15" customHeight="1" x14ac:dyDescent="0.3">
      <c r="A89" s="11" t="s">
        <v>85</v>
      </c>
      <c r="B89" s="4" t="s">
        <v>18</v>
      </c>
      <c r="C89" s="7">
        <v>4493556</v>
      </c>
      <c r="D89" s="6">
        <v>46230</v>
      </c>
      <c r="E89" t="str">
        <f>VLOOKUP(B89,Hoja2!A:B,2,FALSE)</f>
        <v>OBLIGATORIO</v>
      </c>
    </row>
    <row r="90" spans="1:5" ht="15" customHeight="1" x14ac:dyDescent="0.3">
      <c r="A90" s="11" t="s">
        <v>85</v>
      </c>
      <c r="B90" s="4" t="s">
        <v>18</v>
      </c>
      <c r="C90" s="7">
        <v>2040000</v>
      </c>
      <c r="D90" s="6">
        <v>46230</v>
      </c>
      <c r="E90" t="str">
        <f>VLOOKUP(B90,Hoja2!A:B,2,FALSE)</f>
        <v>OBLIGATORIO</v>
      </c>
    </row>
    <row r="91" spans="1:5" ht="15" customHeight="1" x14ac:dyDescent="0.3">
      <c r="A91" s="11" t="s">
        <v>85</v>
      </c>
      <c r="B91" s="4" t="s">
        <v>18</v>
      </c>
      <c r="C91" s="7">
        <v>2637770</v>
      </c>
      <c r="D91" s="6">
        <v>46230</v>
      </c>
      <c r="E91" t="str">
        <f>VLOOKUP(B91,Hoja2!A:B,2,FALSE)</f>
        <v>OBLIGATORIO</v>
      </c>
    </row>
    <row r="92" spans="1:5" ht="15" customHeight="1" x14ac:dyDescent="0.3">
      <c r="A92" s="11" t="s">
        <v>85</v>
      </c>
      <c r="B92" s="4" t="s">
        <v>21</v>
      </c>
      <c r="C92" s="7">
        <v>2912089</v>
      </c>
      <c r="D92" s="6">
        <v>46230</v>
      </c>
      <c r="E92" t="str">
        <f>VLOOKUP(B92,Hoja2!A:B,2,FALSE)</f>
        <v>OBLIGATORIO</v>
      </c>
    </row>
    <row r="93" spans="1:5" ht="15" customHeight="1" x14ac:dyDescent="0.3">
      <c r="A93" s="11" t="s">
        <v>85</v>
      </c>
      <c r="B93" s="4" t="s">
        <v>38</v>
      </c>
      <c r="C93" s="7">
        <v>875912</v>
      </c>
      <c r="D93" s="6">
        <v>46230</v>
      </c>
      <c r="E93" t="str">
        <f>VLOOKUP(B93,Hoja2!A:B,2,FALSE)</f>
        <v>IMPORTANTE</v>
      </c>
    </row>
    <row r="94" spans="1:5" ht="15" customHeight="1" x14ac:dyDescent="0.3">
      <c r="A94" s="11" t="s">
        <v>85</v>
      </c>
      <c r="B94" s="4" t="s">
        <v>38</v>
      </c>
      <c r="C94" s="7">
        <v>4073999</v>
      </c>
      <c r="D94" s="6">
        <v>46230</v>
      </c>
      <c r="E94" t="str">
        <f>VLOOKUP(B94,Hoja2!A:B,2,FALSE)</f>
        <v>IMPORTANTE</v>
      </c>
    </row>
    <row r="95" spans="1:5" ht="15" customHeight="1" x14ac:dyDescent="0.3">
      <c r="A95" s="11" t="s">
        <v>85</v>
      </c>
      <c r="B95" s="4" t="s">
        <v>72</v>
      </c>
      <c r="C95" s="7">
        <v>1850803.2</v>
      </c>
      <c r="D95" s="6">
        <v>46234</v>
      </c>
      <c r="E95" t="str">
        <f>VLOOKUP(B95,Hoja2!A:B,2,FALSE)</f>
        <v>IMPORTANTE</v>
      </c>
    </row>
    <row r="96" spans="1:5" ht="15" customHeight="1" x14ac:dyDescent="0.3">
      <c r="A96" s="11" t="s">
        <v>85</v>
      </c>
      <c r="B96" s="4" t="s">
        <v>25</v>
      </c>
      <c r="C96" s="7">
        <v>5820000</v>
      </c>
      <c r="D96" s="6">
        <v>46234</v>
      </c>
      <c r="E96" t="str">
        <f>VLOOKUP(B96,Hoja2!A:B,2,FALSE)</f>
        <v>OBLIGATORIO</v>
      </c>
    </row>
    <row r="97" spans="1:5" ht="15" customHeight="1" x14ac:dyDescent="0.3">
      <c r="A97" s="11" t="s">
        <v>85</v>
      </c>
      <c r="B97" s="4" t="s">
        <v>22</v>
      </c>
      <c r="C97" s="7">
        <v>3000842</v>
      </c>
      <c r="D97" s="6">
        <v>46234</v>
      </c>
      <c r="E97" t="str">
        <f>VLOOKUP(B97,Hoja2!A:B,2,FALSE)</f>
        <v>MANEJABLE</v>
      </c>
    </row>
    <row r="98" spans="1:5" ht="15" customHeight="1" x14ac:dyDescent="0.3">
      <c r="A98" s="11" t="s">
        <v>85</v>
      </c>
      <c r="B98" s="4" t="s">
        <v>221</v>
      </c>
      <c r="C98" s="7">
        <v>679864</v>
      </c>
      <c r="D98" s="6">
        <v>46235</v>
      </c>
      <c r="E98" t="str">
        <f>VLOOKUP(B98,Hoja2!A:B,2,FALSE)</f>
        <v>OBLIGATORIO</v>
      </c>
    </row>
    <row r="99" spans="1:5" ht="15" customHeight="1" x14ac:dyDescent="0.3">
      <c r="A99" s="11" t="s">
        <v>85</v>
      </c>
      <c r="B99" s="4" t="s">
        <v>93</v>
      </c>
      <c r="C99" s="7">
        <v>6491520</v>
      </c>
      <c r="D99" s="6">
        <v>46236</v>
      </c>
      <c r="E99" t="str">
        <f>VLOOKUP(B99,Hoja2!A:B,2,FALSE)</f>
        <v>OBLIGATORIO</v>
      </c>
    </row>
    <row r="100" spans="1:5" ht="15" customHeight="1" x14ac:dyDescent="0.3">
      <c r="A100" s="11" t="s">
        <v>85</v>
      </c>
      <c r="B100" s="4" t="s">
        <v>24</v>
      </c>
      <c r="C100" s="7">
        <v>5354841</v>
      </c>
      <c r="D100" s="6">
        <v>46236</v>
      </c>
      <c r="E100" t="str">
        <f>VLOOKUP(B100,Hoja2!A:B,2,FALSE)</f>
        <v>OBLIGATORIO</v>
      </c>
    </row>
    <row r="101" spans="1:5" ht="15" customHeight="1" x14ac:dyDescent="0.3">
      <c r="A101" s="11" t="s">
        <v>85</v>
      </c>
      <c r="B101" s="4" t="s">
        <v>13</v>
      </c>
      <c r="C101" s="7">
        <v>4138746</v>
      </c>
      <c r="D101" s="6">
        <v>46238</v>
      </c>
      <c r="E101" t="str">
        <f>VLOOKUP(B101,Hoja2!A:B,2,FALSE)</f>
        <v>IMPORTANTE</v>
      </c>
    </row>
    <row r="102" spans="1:5" ht="15" customHeight="1" x14ac:dyDescent="0.3">
      <c r="A102" s="11" t="s">
        <v>85</v>
      </c>
      <c r="B102" s="4" t="s">
        <v>94</v>
      </c>
      <c r="C102" s="7">
        <v>11103168</v>
      </c>
      <c r="D102" s="6">
        <v>46238</v>
      </c>
      <c r="E102" t="str">
        <f>VLOOKUP(B102,Hoja2!A:B,2,FALSE)</f>
        <v>IMPORTANTE</v>
      </c>
    </row>
    <row r="103" spans="1:5" ht="15" customHeight="1" x14ac:dyDescent="0.3">
      <c r="A103" s="11" t="s">
        <v>85</v>
      </c>
      <c r="B103" s="4" t="s">
        <v>18</v>
      </c>
      <c r="C103" s="7">
        <v>42269991</v>
      </c>
      <c r="D103" s="6">
        <v>46245</v>
      </c>
      <c r="E103" t="str">
        <f>VLOOKUP(B103,Hoja2!A:B,2,FALSE)</f>
        <v>OBLIGATORIO</v>
      </c>
    </row>
    <row r="104" spans="1:5" ht="15" customHeight="1" x14ac:dyDescent="0.3">
      <c r="A104" s="11" t="s">
        <v>85</v>
      </c>
      <c r="B104" s="4" t="s">
        <v>18</v>
      </c>
      <c r="C104" s="7">
        <v>34375439</v>
      </c>
      <c r="D104" s="6">
        <v>46249</v>
      </c>
      <c r="E104" t="str">
        <f>VLOOKUP(B104,Hoja2!A:B,2,FALSE)</f>
        <v>OBLIGATORIO</v>
      </c>
    </row>
    <row r="105" spans="1:5" ht="15" customHeight="1" x14ac:dyDescent="0.3">
      <c r="A105" s="11" t="s">
        <v>85</v>
      </c>
      <c r="B105" s="4" t="s">
        <v>18</v>
      </c>
      <c r="C105" s="7">
        <v>1965600</v>
      </c>
      <c r="D105" s="6">
        <v>46253</v>
      </c>
      <c r="E105" t="str">
        <f>VLOOKUP(B105,Hoja2!A:B,2,FALSE)</f>
        <v>OBLIGATORIO</v>
      </c>
    </row>
    <row r="106" spans="1:5" ht="15" customHeight="1" x14ac:dyDescent="0.3">
      <c r="A106" s="11" t="s">
        <v>85</v>
      </c>
      <c r="B106" s="4" t="s">
        <v>13</v>
      </c>
      <c r="C106" s="7">
        <v>2619759</v>
      </c>
      <c r="D106" s="6">
        <v>46256</v>
      </c>
      <c r="E106" t="str">
        <f>VLOOKUP(B106,Hoja2!A:B,2,FALSE)</f>
        <v>IMPORTANTE</v>
      </c>
    </row>
    <row r="107" spans="1:5" ht="15" customHeight="1" x14ac:dyDescent="0.3">
      <c r="A107" s="11" t="s">
        <v>85</v>
      </c>
      <c r="B107" s="4" t="s">
        <v>13</v>
      </c>
      <c r="C107" s="7">
        <v>7155645</v>
      </c>
      <c r="D107" s="6">
        <v>46256</v>
      </c>
      <c r="E107" t="str">
        <f>VLOOKUP(B107,Hoja2!A:B,2,FALSE)</f>
        <v>IMPORTANTE</v>
      </c>
    </row>
    <row r="108" spans="1:5" ht="15" customHeight="1" x14ac:dyDescent="0.3">
      <c r="A108" s="11" t="s">
        <v>85</v>
      </c>
      <c r="B108" s="4" t="s">
        <v>13</v>
      </c>
      <c r="C108" s="7">
        <v>1380505</v>
      </c>
      <c r="D108" s="6">
        <v>46256</v>
      </c>
      <c r="E108" t="str">
        <f>VLOOKUP(B108,Hoja2!A:B,2,FALSE)</f>
        <v>IMPORTANTE</v>
      </c>
    </row>
    <row r="109" spans="1:5" ht="15" customHeight="1" x14ac:dyDescent="0.3">
      <c r="A109" s="11" t="s">
        <v>85</v>
      </c>
      <c r="B109" s="4" t="s">
        <v>13</v>
      </c>
      <c r="C109" s="7">
        <v>3328281</v>
      </c>
      <c r="D109" s="6">
        <v>46256</v>
      </c>
      <c r="E109" t="str">
        <f>VLOOKUP(B109,Hoja2!A:B,2,FALSE)</f>
        <v>IMPORTANTE</v>
      </c>
    </row>
    <row r="110" spans="1:5" ht="15" customHeight="1" x14ac:dyDescent="0.3">
      <c r="A110" s="11" t="s">
        <v>85</v>
      </c>
      <c r="B110" s="4" t="s">
        <v>13</v>
      </c>
      <c r="C110" s="7">
        <v>1380505</v>
      </c>
      <c r="D110" s="6">
        <v>46256</v>
      </c>
      <c r="E110" t="str">
        <f>VLOOKUP(B110,Hoja2!A:B,2,FALSE)</f>
        <v>IMPORTANTE</v>
      </c>
    </row>
    <row r="111" spans="1:5" ht="15" customHeight="1" x14ac:dyDescent="0.3">
      <c r="A111" s="11" t="s">
        <v>85</v>
      </c>
      <c r="B111" s="4" t="s">
        <v>13</v>
      </c>
      <c r="C111" s="7">
        <v>2619759</v>
      </c>
      <c r="D111" s="6">
        <v>46256</v>
      </c>
      <c r="E111" t="str">
        <f>VLOOKUP(B111,Hoja2!A:B,2,FALSE)</f>
        <v>IMPORTANTE</v>
      </c>
    </row>
    <row r="112" spans="1:5" ht="15" customHeight="1" x14ac:dyDescent="0.3">
      <c r="A112" s="11" t="s">
        <v>85</v>
      </c>
      <c r="B112" s="4" t="s">
        <v>13</v>
      </c>
      <c r="C112" s="7">
        <v>19328927</v>
      </c>
      <c r="D112" s="6">
        <v>46256</v>
      </c>
      <c r="E112" t="str">
        <f>VLOOKUP(B112,Hoja2!A:B,2,FALSE)</f>
        <v>IMPORTANTE</v>
      </c>
    </row>
    <row r="113" spans="1:5" ht="15" customHeight="1" x14ac:dyDescent="0.3">
      <c r="A113" s="11" t="s">
        <v>85</v>
      </c>
      <c r="B113" s="4" t="s">
        <v>13</v>
      </c>
      <c r="C113" s="7">
        <v>15379317</v>
      </c>
      <c r="D113" s="6">
        <v>46257</v>
      </c>
      <c r="E113" t="str">
        <f>VLOOKUP(B113,Hoja2!A:B,2,FALSE)</f>
        <v>IMPORTANTE</v>
      </c>
    </row>
    <row r="114" spans="1:5" ht="15" customHeight="1" x14ac:dyDescent="0.3">
      <c r="A114" s="11" t="s">
        <v>85</v>
      </c>
      <c r="B114" s="4" t="s">
        <v>35</v>
      </c>
      <c r="C114" s="7">
        <v>3115878</v>
      </c>
      <c r="D114" s="6">
        <v>46257</v>
      </c>
      <c r="E114" t="str">
        <f>VLOOKUP(B114,Hoja2!A:B,2,FALSE)</f>
        <v>OBLIGATORIO</v>
      </c>
    </row>
    <row r="115" spans="1:5" ht="15" customHeight="1" x14ac:dyDescent="0.3">
      <c r="A115" s="11" t="s">
        <v>85</v>
      </c>
      <c r="B115" s="4" t="s">
        <v>86</v>
      </c>
      <c r="C115" s="7">
        <v>3747864</v>
      </c>
      <c r="D115" s="6">
        <v>46257</v>
      </c>
      <c r="E115" t="str">
        <f>VLOOKUP(B115,Hoja2!A:B,2,FALSE)</f>
        <v>IMPORTANTE</v>
      </c>
    </row>
    <row r="116" spans="1:5" ht="15" customHeight="1" x14ac:dyDescent="0.3">
      <c r="A116" s="11" t="s">
        <v>85</v>
      </c>
      <c r="B116" s="4" t="s">
        <v>86</v>
      </c>
      <c r="C116" s="7">
        <v>206582</v>
      </c>
      <c r="D116" s="6">
        <v>46257</v>
      </c>
      <c r="E116" t="str">
        <f>VLOOKUP(B116,Hoja2!A:B,2,FALSE)</f>
        <v>IMPORTANTE</v>
      </c>
    </row>
    <row r="117" spans="1:5" ht="15" customHeight="1" x14ac:dyDescent="0.3">
      <c r="A117" s="11" t="s">
        <v>85</v>
      </c>
      <c r="B117" s="4" t="s">
        <v>86</v>
      </c>
      <c r="C117" s="7">
        <v>2681930</v>
      </c>
      <c r="D117" s="6">
        <v>46257</v>
      </c>
      <c r="E117" t="str">
        <f>VLOOKUP(B117,Hoja2!A:B,2,FALSE)</f>
        <v>IMPORTANTE</v>
      </c>
    </row>
    <row r="118" spans="1:5" ht="15" customHeight="1" x14ac:dyDescent="0.3">
      <c r="A118" s="11" t="s">
        <v>85</v>
      </c>
      <c r="B118" s="4" t="s">
        <v>13</v>
      </c>
      <c r="C118" s="7">
        <v>12458270</v>
      </c>
      <c r="D118" s="6">
        <v>46257</v>
      </c>
      <c r="E118" t="str">
        <f>VLOOKUP(B118,Hoja2!A:B,2,FALSE)</f>
        <v>IMPORTANTE</v>
      </c>
    </row>
    <row r="119" spans="1:5" ht="15" customHeight="1" x14ac:dyDescent="0.3">
      <c r="A119" s="11" t="s">
        <v>85</v>
      </c>
      <c r="B119" s="4" t="s">
        <v>13</v>
      </c>
      <c r="C119" s="7">
        <v>28953036</v>
      </c>
      <c r="D119" s="6">
        <v>46259</v>
      </c>
      <c r="E119" t="str">
        <f>VLOOKUP(B119,Hoja2!A:B,2,FALSE)</f>
        <v>IMPORTANTE</v>
      </c>
    </row>
    <row r="120" spans="1:5" ht="15" customHeight="1" x14ac:dyDescent="0.3">
      <c r="A120" s="11" t="s">
        <v>85</v>
      </c>
      <c r="B120" s="4" t="s">
        <v>13</v>
      </c>
      <c r="C120" s="7">
        <v>1430297</v>
      </c>
      <c r="D120" s="6">
        <v>46259</v>
      </c>
      <c r="E120" t="str">
        <f>VLOOKUP(B120,Hoja2!A:B,2,FALSE)</f>
        <v>IMPORTANTE</v>
      </c>
    </row>
    <row r="121" spans="1:5" ht="15" customHeight="1" x14ac:dyDescent="0.3">
      <c r="A121" s="11" t="s">
        <v>85</v>
      </c>
      <c r="B121" s="4" t="s">
        <v>13</v>
      </c>
      <c r="C121" s="7">
        <v>17043657</v>
      </c>
      <c r="D121" s="6">
        <v>46263</v>
      </c>
      <c r="E121" t="str">
        <f>VLOOKUP(B121,Hoja2!A:B,2,FALSE)</f>
        <v>IMPORTANTE</v>
      </c>
    </row>
    <row r="122" spans="1:5" ht="15" customHeight="1" x14ac:dyDescent="0.3">
      <c r="A122" s="11" t="s">
        <v>85</v>
      </c>
      <c r="B122" s="4" t="s">
        <v>13</v>
      </c>
      <c r="C122" s="7">
        <v>3082731</v>
      </c>
      <c r="D122" s="6">
        <v>46263</v>
      </c>
      <c r="E122" t="str">
        <f>VLOOKUP(B122,Hoja2!A:B,2,FALSE)</f>
        <v>IMPORTANTE</v>
      </c>
    </row>
    <row r="123" spans="1:5" ht="15" customHeight="1" x14ac:dyDescent="0.3">
      <c r="A123" s="11" t="s">
        <v>85</v>
      </c>
      <c r="B123" s="4" t="s">
        <v>13</v>
      </c>
      <c r="C123" s="7">
        <v>220100</v>
      </c>
      <c r="D123" s="6">
        <v>46263</v>
      </c>
      <c r="E123" t="str">
        <f>VLOOKUP(B123,Hoja2!A:B,2,FALSE)</f>
        <v>IMPORTANTE</v>
      </c>
    </row>
    <row r="124" spans="1:5" ht="15" customHeight="1" x14ac:dyDescent="0.3">
      <c r="A124" s="11" t="s">
        <v>85</v>
      </c>
      <c r="B124" s="4" t="s">
        <v>13</v>
      </c>
      <c r="C124" s="7">
        <v>21946684</v>
      </c>
      <c r="D124" s="6">
        <v>46263</v>
      </c>
      <c r="E124" t="str">
        <f>VLOOKUP(B124,Hoja2!A:B,2,FALSE)</f>
        <v>IMPORTANTE</v>
      </c>
    </row>
    <row r="125" spans="1:5" ht="15" customHeight="1" x14ac:dyDescent="0.3">
      <c r="A125" s="11" t="s">
        <v>85</v>
      </c>
      <c r="B125" s="4" t="s">
        <v>13</v>
      </c>
      <c r="C125" s="7">
        <v>12882305</v>
      </c>
      <c r="D125" s="6">
        <v>46263</v>
      </c>
      <c r="E125" t="str">
        <f>VLOOKUP(B125,Hoja2!A:B,2,FALSE)</f>
        <v>IMPORTANTE</v>
      </c>
    </row>
    <row r="126" spans="1:5" ht="15" customHeight="1" x14ac:dyDescent="0.3">
      <c r="A126" s="11" t="s">
        <v>85</v>
      </c>
      <c r="B126" s="4" t="s">
        <v>13</v>
      </c>
      <c r="C126" s="7">
        <v>5129410</v>
      </c>
      <c r="D126" s="6">
        <v>46265</v>
      </c>
      <c r="E126" t="str">
        <f>VLOOKUP(B126,Hoja2!A:B,2,FALSE)</f>
        <v>IMPORTANTE</v>
      </c>
    </row>
    <row r="127" spans="1:5" ht="15" customHeight="1" x14ac:dyDescent="0.3">
      <c r="A127" s="11"/>
      <c r="B127" s="4"/>
      <c r="C127" s="7"/>
      <c r="D127" s="6"/>
    </row>
    <row r="128" spans="1:5" ht="15" customHeight="1" x14ac:dyDescent="0.3">
      <c r="A128" s="11"/>
      <c r="B128" s="4"/>
      <c r="C128" s="7"/>
      <c r="D128" s="6"/>
    </row>
    <row r="129" spans="1:4" ht="15" customHeight="1" x14ac:dyDescent="0.3">
      <c r="A129" s="11"/>
      <c r="B129" s="4"/>
      <c r="C129" s="7"/>
      <c r="D129" s="6"/>
    </row>
    <row r="130" spans="1:4" ht="15" customHeight="1" x14ac:dyDescent="0.3">
      <c r="A130" s="11"/>
      <c r="B130" s="4"/>
      <c r="C130" s="7"/>
      <c r="D130" s="6"/>
    </row>
    <row r="131" spans="1:4" ht="15" customHeight="1" x14ac:dyDescent="0.3">
      <c r="A131" s="11"/>
      <c r="B131" s="4"/>
      <c r="C131" s="7"/>
      <c r="D131" s="6"/>
    </row>
    <row r="132" spans="1:4" ht="15" customHeight="1" x14ac:dyDescent="0.3">
      <c r="A132" s="11"/>
      <c r="B132" s="4"/>
      <c r="C132" s="7"/>
      <c r="D132" s="6"/>
    </row>
    <row r="133" spans="1:4" ht="15" customHeight="1" x14ac:dyDescent="0.3">
      <c r="A133" s="11"/>
      <c r="B133" s="4"/>
      <c r="C133" s="7"/>
      <c r="D133" s="6"/>
    </row>
    <row r="134" spans="1:4" ht="15" customHeight="1" x14ac:dyDescent="0.3">
      <c r="A134" s="11"/>
      <c r="B134" s="4"/>
      <c r="C134" s="7"/>
      <c r="D134" s="6"/>
    </row>
    <row r="135" spans="1:4" ht="15" customHeight="1" x14ac:dyDescent="0.3">
      <c r="A135" s="11"/>
      <c r="B135" s="4"/>
      <c r="C135" s="7"/>
      <c r="D135" s="6"/>
    </row>
    <row r="136" spans="1:4" ht="15" customHeight="1" x14ac:dyDescent="0.3">
      <c r="A136" s="11"/>
      <c r="B136" s="4"/>
      <c r="C136" s="7"/>
      <c r="D136" s="6"/>
    </row>
    <row r="137" spans="1:4" ht="15" customHeight="1" x14ac:dyDescent="0.3">
      <c r="A137" s="11"/>
      <c r="B137" s="4"/>
      <c r="C137" s="7"/>
      <c r="D137" s="6"/>
    </row>
    <row r="138" spans="1:4" ht="15" customHeight="1" x14ac:dyDescent="0.3">
      <c r="A138" s="11"/>
      <c r="B138" s="4"/>
      <c r="C138" s="7"/>
      <c r="D138" s="6"/>
    </row>
    <row r="139" spans="1:4" ht="15" customHeight="1" x14ac:dyDescent="0.3">
      <c r="A139" s="11"/>
      <c r="B139" s="4"/>
      <c r="C139" s="7"/>
      <c r="D139" s="6"/>
    </row>
    <row r="140" spans="1:4" ht="15" customHeight="1" x14ac:dyDescent="0.3">
      <c r="A140" s="11"/>
      <c r="B140" s="4"/>
      <c r="C140" s="7"/>
      <c r="D140" s="6"/>
    </row>
    <row r="141" spans="1:4" ht="15" customHeight="1" x14ac:dyDescent="0.3">
      <c r="A141" s="11"/>
      <c r="B141" s="4"/>
      <c r="C141" s="7"/>
      <c r="D141" s="6"/>
    </row>
    <row r="142" spans="1:4" ht="15" customHeight="1" x14ac:dyDescent="0.3">
      <c r="A142" s="11"/>
      <c r="B142" s="4"/>
      <c r="C142" s="7"/>
      <c r="D142" s="6"/>
    </row>
    <row r="143" spans="1:4" ht="15" customHeight="1" x14ac:dyDescent="0.3">
      <c r="A143" s="11"/>
      <c r="B143" s="4"/>
      <c r="C143" s="7"/>
      <c r="D143" s="6"/>
    </row>
    <row r="144" spans="1:4" ht="15" customHeight="1" x14ac:dyDescent="0.3">
      <c r="A144" s="11"/>
      <c r="B144" s="4"/>
      <c r="C144" s="7"/>
      <c r="D144" s="6"/>
    </row>
    <row r="145" spans="1:4" ht="15" customHeight="1" x14ac:dyDescent="0.3">
      <c r="A145" s="11"/>
      <c r="B145" s="4"/>
      <c r="C145" s="7"/>
      <c r="D145" s="6"/>
    </row>
    <row r="146" spans="1:4" ht="15" customHeight="1" x14ac:dyDescent="0.3">
      <c r="A146" s="11"/>
      <c r="B146" s="4"/>
      <c r="C146" s="7"/>
      <c r="D146" s="6"/>
    </row>
    <row r="147" spans="1:4" ht="15" customHeight="1" x14ac:dyDescent="0.3">
      <c r="A147" s="11"/>
      <c r="B147" s="4"/>
      <c r="C147" s="7"/>
      <c r="D147" s="6"/>
    </row>
    <row r="148" spans="1:4" ht="15" customHeight="1" x14ac:dyDescent="0.3">
      <c r="A148" s="11"/>
      <c r="B148" s="4"/>
      <c r="C148" s="7"/>
      <c r="D148" s="6"/>
    </row>
    <row r="149" spans="1:4" ht="15" customHeight="1" x14ac:dyDescent="0.3">
      <c r="A149" s="11"/>
      <c r="B149" s="4"/>
      <c r="C149" s="7"/>
      <c r="D149" s="6"/>
    </row>
    <row r="150" spans="1:4" ht="15" customHeight="1" x14ac:dyDescent="0.3">
      <c r="A150" s="11"/>
      <c r="B150" s="4"/>
      <c r="C150" s="7"/>
      <c r="D150" s="6"/>
    </row>
    <row r="151" spans="1:4" ht="15" customHeight="1" x14ac:dyDescent="0.3">
      <c r="A151" s="11"/>
      <c r="B151" s="4"/>
      <c r="C151" s="7"/>
      <c r="D151" s="6"/>
    </row>
    <row r="152" spans="1:4" ht="15" customHeight="1" x14ac:dyDescent="0.3">
      <c r="A152" s="11"/>
      <c r="B152" s="4"/>
      <c r="C152" s="7"/>
      <c r="D152" s="6"/>
    </row>
    <row r="153" spans="1:4" ht="15" customHeight="1" x14ac:dyDescent="0.3">
      <c r="A153" s="11"/>
      <c r="B153" s="4"/>
      <c r="C153" s="7"/>
      <c r="D153" s="6"/>
    </row>
    <row r="154" spans="1:4" ht="15" customHeight="1" x14ac:dyDescent="0.3">
      <c r="A154" s="11"/>
      <c r="B154" s="4"/>
      <c r="C154" s="7"/>
      <c r="D154" s="6"/>
    </row>
    <row r="155" spans="1:4" ht="15" customHeight="1" x14ac:dyDescent="0.3">
      <c r="A155" s="11"/>
      <c r="B155" s="4"/>
      <c r="C155" s="7"/>
      <c r="D155" s="6"/>
    </row>
  </sheetData>
  <autoFilter ref="A1:E155" xr:uid="{98280D05-B11A-4A7C-8C80-FA9D20C88B8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FC215-5B13-4DEE-8096-462A9F862934}">
  <dimension ref="A1:B224"/>
  <sheetViews>
    <sheetView workbookViewId="0">
      <selection activeCell="E5" sqref="E5"/>
    </sheetView>
  </sheetViews>
  <sheetFormatPr baseColWidth="10" defaultRowHeight="14.4" x14ac:dyDescent="0.3"/>
  <cols>
    <col min="1" max="1" width="13.44140625" bestFit="1" customWidth="1"/>
    <col min="2" max="2" width="13.21875" bestFit="1" customWidth="1"/>
  </cols>
  <sheetData>
    <row r="1" spans="1:2" ht="28.8" x14ac:dyDescent="0.3">
      <c r="A1" s="4" t="s">
        <v>5</v>
      </c>
      <c r="B1" t="s">
        <v>77</v>
      </c>
    </row>
    <row r="2" spans="1:2" x14ac:dyDescent="0.3">
      <c r="A2" t="s">
        <v>131</v>
      </c>
      <c r="B2" t="s">
        <v>75</v>
      </c>
    </row>
    <row r="3" spans="1:2" ht="28.8" x14ac:dyDescent="0.3">
      <c r="A3" s="4" t="s">
        <v>45</v>
      </c>
      <c r="B3" s="10" t="s">
        <v>75</v>
      </c>
    </row>
    <row r="4" spans="1:2" ht="43.2" x14ac:dyDescent="0.3">
      <c r="A4" s="4" t="s">
        <v>15</v>
      </c>
      <c r="B4" t="s">
        <v>76</v>
      </c>
    </row>
    <row r="5" spans="1:2" ht="43.2" x14ac:dyDescent="0.3">
      <c r="A5" s="4" t="s">
        <v>105</v>
      </c>
      <c r="B5" t="s">
        <v>76</v>
      </c>
    </row>
    <row r="6" spans="1:2" ht="28.8" x14ac:dyDescent="0.3">
      <c r="A6" s="4" t="s">
        <v>107</v>
      </c>
      <c r="B6" t="s">
        <v>75</v>
      </c>
    </row>
    <row r="7" spans="1:2" ht="28.8" x14ac:dyDescent="0.3">
      <c r="A7" s="4" t="s">
        <v>10</v>
      </c>
      <c r="B7" t="s">
        <v>76</v>
      </c>
    </row>
    <row r="8" spans="1:2" ht="28.8" x14ac:dyDescent="0.3">
      <c r="A8" s="4" t="s">
        <v>6</v>
      </c>
      <c r="B8" t="s">
        <v>77</v>
      </c>
    </row>
    <row r="9" spans="1:2" x14ac:dyDescent="0.3">
      <c r="A9" t="s">
        <v>116</v>
      </c>
      <c r="B9" t="s">
        <v>75</v>
      </c>
    </row>
    <row r="10" spans="1:2" ht="43.2" x14ac:dyDescent="0.3">
      <c r="A10" s="4" t="s">
        <v>116</v>
      </c>
      <c r="B10" t="s">
        <v>76</v>
      </c>
    </row>
    <row r="11" spans="1:2" ht="43.2" x14ac:dyDescent="0.3">
      <c r="A11" s="4" t="s">
        <v>64</v>
      </c>
      <c r="B11" t="s">
        <v>75</v>
      </c>
    </row>
    <row r="12" spans="1:2" ht="43.2" x14ac:dyDescent="0.3">
      <c r="A12" s="4" t="s">
        <v>9</v>
      </c>
      <c r="B12" t="s">
        <v>77</v>
      </c>
    </row>
    <row r="13" spans="1:2" ht="43.2" x14ac:dyDescent="0.3">
      <c r="A13" s="4" t="s">
        <v>26</v>
      </c>
      <c r="B13" t="s">
        <v>77</v>
      </c>
    </row>
    <row r="14" spans="1:2" ht="57.6" x14ac:dyDescent="0.3">
      <c r="A14" s="4" t="s">
        <v>79</v>
      </c>
      <c r="B14" t="s">
        <v>76</v>
      </c>
    </row>
    <row r="15" spans="1:2" x14ac:dyDescent="0.3">
      <c r="A15" t="s">
        <v>112</v>
      </c>
      <c r="B15" t="s">
        <v>76</v>
      </c>
    </row>
    <row r="16" spans="1:2" ht="72" x14ac:dyDescent="0.3">
      <c r="A16" s="4" t="s">
        <v>82</v>
      </c>
      <c r="B16" t="s">
        <v>76</v>
      </c>
    </row>
    <row r="17" spans="1:2" ht="28.8" x14ac:dyDescent="0.3">
      <c r="A17" s="4" t="s">
        <v>104</v>
      </c>
      <c r="B17" t="s">
        <v>76</v>
      </c>
    </row>
    <row r="18" spans="1:2" x14ac:dyDescent="0.3">
      <c r="A18" t="s">
        <v>168</v>
      </c>
      <c r="B18" t="s">
        <v>76</v>
      </c>
    </row>
    <row r="19" spans="1:2" x14ac:dyDescent="0.3">
      <c r="A19" s="4" t="s">
        <v>30</v>
      </c>
      <c r="B19" t="s">
        <v>75</v>
      </c>
    </row>
    <row r="20" spans="1:2" x14ac:dyDescent="0.3">
      <c r="A20" t="s">
        <v>165</v>
      </c>
      <c r="B20" t="s">
        <v>75</v>
      </c>
    </row>
    <row r="21" spans="1:2" x14ac:dyDescent="0.3">
      <c r="A21" t="s">
        <v>169</v>
      </c>
      <c r="B21" t="s">
        <v>75</v>
      </c>
    </row>
    <row r="22" spans="1:2" ht="28.8" x14ac:dyDescent="0.3">
      <c r="A22" s="4" t="s">
        <v>137</v>
      </c>
      <c r="B22" t="s">
        <v>76</v>
      </c>
    </row>
    <row r="23" spans="1:2" ht="86.4" x14ac:dyDescent="0.3">
      <c r="A23" s="4" t="s">
        <v>29</v>
      </c>
      <c r="B23" t="s">
        <v>75</v>
      </c>
    </row>
    <row r="24" spans="1:2" ht="43.2" x14ac:dyDescent="0.3">
      <c r="A24" s="4" t="s">
        <v>72</v>
      </c>
      <c r="B24" t="s">
        <v>76</v>
      </c>
    </row>
    <row r="25" spans="1:2" x14ac:dyDescent="0.3">
      <c r="A25" t="s">
        <v>120</v>
      </c>
      <c r="B25" t="s">
        <v>77</v>
      </c>
    </row>
    <row r="26" spans="1:2" ht="72" x14ac:dyDescent="0.3">
      <c r="A26" s="4" t="s">
        <v>145</v>
      </c>
      <c r="B26" t="s">
        <v>77</v>
      </c>
    </row>
    <row r="27" spans="1:2" x14ac:dyDescent="0.3">
      <c r="A27" t="s">
        <v>159</v>
      </c>
      <c r="B27" t="s">
        <v>76</v>
      </c>
    </row>
    <row r="28" spans="1:2" ht="72" x14ac:dyDescent="0.3">
      <c r="A28" s="4" t="s">
        <v>96</v>
      </c>
      <c r="B28" t="s">
        <v>76</v>
      </c>
    </row>
    <row r="29" spans="1:2" ht="57.6" x14ac:dyDescent="0.3">
      <c r="A29" s="4" t="s">
        <v>53</v>
      </c>
      <c r="B29" s="10" t="s">
        <v>77</v>
      </c>
    </row>
    <row r="30" spans="1:2" ht="57.6" x14ac:dyDescent="0.3">
      <c r="A30" s="4" t="s">
        <v>51</v>
      </c>
      <c r="B30" s="10" t="s">
        <v>77</v>
      </c>
    </row>
    <row r="31" spans="1:2" x14ac:dyDescent="0.3">
      <c r="A31" t="s">
        <v>119</v>
      </c>
      <c r="B31" t="s">
        <v>77</v>
      </c>
    </row>
    <row r="32" spans="1:2" ht="86.4" x14ac:dyDescent="0.3">
      <c r="A32" s="4" t="s">
        <v>144</v>
      </c>
      <c r="B32" t="s">
        <v>77</v>
      </c>
    </row>
    <row r="33" spans="1:2" ht="86.4" x14ac:dyDescent="0.3">
      <c r="A33" s="4" t="s">
        <v>95</v>
      </c>
      <c r="B33" t="s">
        <v>76</v>
      </c>
    </row>
    <row r="34" spans="1:2" ht="86.4" x14ac:dyDescent="0.3">
      <c r="A34" s="4" t="s">
        <v>52</v>
      </c>
      <c r="B34" s="10" t="s">
        <v>77</v>
      </c>
    </row>
    <row r="35" spans="1:2" ht="86.4" x14ac:dyDescent="0.3">
      <c r="A35" s="4" t="s">
        <v>52</v>
      </c>
      <c r="B35" t="s">
        <v>76</v>
      </c>
    </row>
    <row r="36" spans="1:2" ht="72" x14ac:dyDescent="0.3">
      <c r="A36" s="4" t="s">
        <v>54</v>
      </c>
      <c r="B36" s="10" t="s">
        <v>76</v>
      </c>
    </row>
    <row r="37" spans="1:2" ht="57.6" x14ac:dyDescent="0.3">
      <c r="A37" s="4" t="s">
        <v>13</v>
      </c>
      <c r="B37" t="s">
        <v>76</v>
      </c>
    </row>
    <row r="38" spans="1:2" ht="57.6" x14ac:dyDescent="0.3">
      <c r="A38" s="4" t="s">
        <v>13</v>
      </c>
      <c r="B38" t="s">
        <v>75</v>
      </c>
    </row>
    <row r="39" spans="1:2" ht="72" x14ac:dyDescent="0.3">
      <c r="A39" s="4" t="s">
        <v>38</v>
      </c>
      <c r="B39" t="s">
        <v>76</v>
      </c>
    </row>
    <row r="40" spans="1:2" ht="86.4" x14ac:dyDescent="0.3">
      <c r="A40" s="8" t="s">
        <v>141</v>
      </c>
      <c r="B40" t="s">
        <v>76</v>
      </c>
    </row>
    <row r="41" spans="1:2" x14ac:dyDescent="0.3">
      <c r="A41" t="s">
        <v>157</v>
      </c>
      <c r="B41" t="s">
        <v>76</v>
      </c>
    </row>
    <row r="42" spans="1:2" ht="86.4" x14ac:dyDescent="0.3">
      <c r="A42" s="8" t="s">
        <v>49</v>
      </c>
      <c r="B42" s="10" t="s">
        <v>77</v>
      </c>
    </row>
    <row r="43" spans="1:2" x14ac:dyDescent="0.3">
      <c r="A43" t="s">
        <v>172</v>
      </c>
      <c r="B43" t="s">
        <v>75</v>
      </c>
    </row>
    <row r="44" spans="1:2" ht="57.6" x14ac:dyDescent="0.3">
      <c r="A44" s="4" t="s">
        <v>81</v>
      </c>
      <c r="B44" t="s">
        <v>76</v>
      </c>
    </row>
    <row r="45" spans="1:2" ht="28.8" x14ac:dyDescent="0.3">
      <c r="A45" s="4" t="s">
        <v>78</v>
      </c>
      <c r="B45" t="s">
        <v>75</v>
      </c>
    </row>
    <row r="46" spans="1:2" x14ac:dyDescent="0.3">
      <c r="A46" t="s">
        <v>114</v>
      </c>
      <c r="B46" t="s">
        <v>76</v>
      </c>
    </row>
    <row r="47" spans="1:2" ht="28.8" x14ac:dyDescent="0.3">
      <c r="A47" s="4" t="s">
        <v>93</v>
      </c>
      <c r="B47" t="s">
        <v>75</v>
      </c>
    </row>
    <row r="48" spans="1:2" ht="43.2" x14ac:dyDescent="0.3">
      <c r="A48" s="4" t="s">
        <v>27</v>
      </c>
      <c r="B48" t="s">
        <v>75</v>
      </c>
    </row>
    <row r="49" spans="1:2" ht="43.2" x14ac:dyDescent="0.3">
      <c r="A49" s="4" t="s">
        <v>71</v>
      </c>
      <c r="B49" t="s">
        <v>75</v>
      </c>
    </row>
    <row r="50" spans="1:2" x14ac:dyDescent="0.3">
      <c r="A50" t="s">
        <v>113</v>
      </c>
      <c r="B50" t="s">
        <v>75</v>
      </c>
    </row>
    <row r="51" spans="1:2" ht="57.6" x14ac:dyDescent="0.3">
      <c r="A51" s="4" t="s">
        <v>11</v>
      </c>
      <c r="B51" t="s">
        <v>75</v>
      </c>
    </row>
    <row r="52" spans="1:2" ht="43.2" x14ac:dyDescent="0.3">
      <c r="A52" s="4" t="s">
        <v>80</v>
      </c>
      <c r="B52" t="s">
        <v>75</v>
      </c>
    </row>
    <row r="53" spans="1:2" ht="57.6" x14ac:dyDescent="0.3">
      <c r="A53" s="4" t="s">
        <v>28</v>
      </c>
      <c r="B53" t="s">
        <v>75</v>
      </c>
    </row>
    <row r="54" spans="1:2" ht="43.2" x14ac:dyDescent="0.3">
      <c r="A54" s="4" t="s">
        <v>21</v>
      </c>
      <c r="B54" t="s">
        <v>75</v>
      </c>
    </row>
    <row r="55" spans="1:2" ht="57.6" x14ac:dyDescent="0.3">
      <c r="A55" s="4" t="s">
        <v>18</v>
      </c>
      <c r="B55" t="s">
        <v>75</v>
      </c>
    </row>
    <row r="56" spans="1:2" x14ac:dyDescent="0.3">
      <c r="A56" t="s">
        <v>167</v>
      </c>
      <c r="B56" t="s">
        <v>76</v>
      </c>
    </row>
    <row r="57" spans="1:2" ht="43.2" x14ac:dyDescent="0.3">
      <c r="A57" s="4" t="s">
        <v>24</v>
      </c>
      <c r="B57" t="s">
        <v>75</v>
      </c>
    </row>
    <row r="58" spans="1:2" ht="72" x14ac:dyDescent="0.3">
      <c r="A58" s="4" t="s">
        <v>14</v>
      </c>
      <c r="B58" t="s">
        <v>76</v>
      </c>
    </row>
    <row r="59" spans="1:2" ht="72" x14ac:dyDescent="0.3">
      <c r="A59" s="4" t="s">
        <v>109</v>
      </c>
      <c r="B59" t="s">
        <v>76</v>
      </c>
    </row>
    <row r="60" spans="1:2" ht="28.8" x14ac:dyDescent="0.3">
      <c r="A60" s="4" t="s">
        <v>16</v>
      </c>
      <c r="B60" t="s">
        <v>76</v>
      </c>
    </row>
    <row r="61" spans="1:2" ht="43.2" x14ac:dyDescent="0.3">
      <c r="A61" s="4" t="s">
        <v>155</v>
      </c>
      <c r="B61" t="s">
        <v>77</v>
      </c>
    </row>
    <row r="62" spans="1:2" ht="72" x14ac:dyDescent="0.3">
      <c r="A62" s="4" t="s">
        <v>31</v>
      </c>
      <c r="B62" t="s">
        <v>75</v>
      </c>
    </row>
    <row r="63" spans="1:2" ht="43.2" x14ac:dyDescent="0.3">
      <c r="A63" s="4" t="s">
        <v>223</v>
      </c>
      <c r="B63" s="10" t="s">
        <v>75</v>
      </c>
    </row>
    <row r="64" spans="1:2" x14ac:dyDescent="0.3">
      <c r="A64" s="4" t="s">
        <v>25</v>
      </c>
      <c r="B64" t="s">
        <v>75</v>
      </c>
    </row>
    <row r="65" spans="1:2" ht="28.8" x14ac:dyDescent="0.3">
      <c r="A65" s="4" t="s">
        <v>65</v>
      </c>
      <c r="B65" t="s">
        <v>75</v>
      </c>
    </row>
    <row r="66" spans="1:2" ht="57.6" x14ac:dyDescent="0.3">
      <c r="A66" s="4" t="s">
        <v>83</v>
      </c>
      <c r="B66" t="s">
        <v>76</v>
      </c>
    </row>
    <row r="67" spans="1:2" ht="28.8" x14ac:dyDescent="0.3">
      <c r="A67" s="4" t="s">
        <v>47</v>
      </c>
      <c r="B67" s="10" t="s">
        <v>75</v>
      </c>
    </row>
    <row r="68" spans="1:2" ht="28.8" x14ac:dyDescent="0.3">
      <c r="A68" s="4" t="s">
        <v>47</v>
      </c>
      <c r="B68" t="s">
        <v>77</v>
      </c>
    </row>
    <row r="69" spans="1:2" ht="28.8" x14ac:dyDescent="0.3">
      <c r="A69" s="4" t="s">
        <v>110</v>
      </c>
      <c r="B69" t="s">
        <v>76</v>
      </c>
    </row>
    <row r="70" spans="1:2" ht="28.8" x14ac:dyDescent="0.3">
      <c r="A70" s="4" t="s">
        <v>153</v>
      </c>
      <c r="B70" t="s">
        <v>75</v>
      </c>
    </row>
    <row r="71" spans="1:2" ht="57.6" x14ac:dyDescent="0.3">
      <c r="A71" s="4" t="s">
        <v>41</v>
      </c>
      <c r="B71" t="s">
        <v>75</v>
      </c>
    </row>
    <row r="72" spans="1:2" x14ac:dyDescent="0.3">
      <c r="A72" t="s">
        <v>124</v>
      </c>
      <c r="B72" t="s">
        <v>75</v>
      </c>
    </row>
    <row r="73" spans="1:2" ht="144" x14ac:dyDescent="0.3">
      <c r="A73" s="4" t="s">
        <v>148</v>
      </c>
      <c r="B73" t="s">
        <v>75</v>
      </c>
    </row>
    <row r="74" spans="1:2" ht="57.6" x14ac:dyDescent="0.3">
      <c r="A74" s="4" t="s">
        <v>98</v>
      </c>
      <c r="B74" t="s">
        <v>76</v>
      </c>
    </row>
    <row r="75" spans="1:2" x14ac:dyDescent="0.3">
      <c r="A75" t="s">
        <v>122</v>
      </c>
      <c r="B75" t="s">
        <v>76</v>
      </c>
    </row>
    <row r="76" spans="1:2" ht="57.6" x14ac:dyDescent="0.3">
      <c r="A76" s="4" t="s">
        <v>146</v>
      </c>
      <c r="B76" t="s">
        <v>76</v>
      </c>
    </row>
    <row r="77" spans="1:2" x14ac:dyDescent="0.3">
      <c r="A77" t="s">
        <v>160</v>
      </c>
      <c r="B77" t="s">
        <v>75</v>
      </c>
    </row>
    <row r="78" spans="1:2" ht="57.6" x14ac:dyDescent="0.3">
      <c r="A78" s="4" t="s">
        <v>97</v>
      </c>
      <c r="B78" t="s">
        <v>76</v>
      </c>
    </row>
    <row r="79" spans="1:2" ht="57.6" x14ac:dyDescent="0.3">
      <c r="A79" s="4" t="s">
        <v>56</v>
      </c>
      <c r="B79" t="s">
        <v>76</v>
      </c>
    </row>
    <row r="80" spans="1:2" ht="57.6" x14ac:dyDescent="0.3">
      <c r="A80" s="4" t="s">
        <v>39</v>
      </c>
      <c r="B80" t="s">
        <v>76</v>
      </c>
    </row>
    <row r="81" spans="1:2" ht="43.2" x14ac:dyDescent="0.3">
      <c r="A81" s="4" t="s">
        <v>20</v>
      </c>
      <c r="B81" t="s">
        <v>76</v>
      </c>
    </row>
    <row r="82" spans="1:2" ht="28.8" x14ac:dyDescent="0.3">
      <c r="A82" s="4" t="s">
        <v>44</v>
      </c>
      <c r="B82" s="10" t="s">
        <v>75</v>
      </c>
    </row>
    <row r="83" spans="1:2" x14ac:dyDescent="0.3">
      <c r="A83" s="4" t="s">
        <v>46</v>
      </c>
      <c r="B83" s="10" t="s">
        <v>75</v>
      </c>
    </row>
    <row r="84" spans="1:2" x14ac:dyDescent="0.3">
      <c r="A84" t="s">
        <v>115</v>
      </c>
      <c r="B84" t="s">
        <v>77</v>
      </c>
    </row>
    <row r="85" spans="1:2" ht="43.2" x14ac:dyDescent="0.3">
      <c r="A85" s="4" t="s">
        <v>92</v>
      </c>
      <c r="B85" t="s">
        <v>77</v>
      </c>
    </row>
    <row r="86" spans="1:2" ht="43.2" x14ac:dyDescent="0.3">
      <c r="A86" s="4" t="s">
        <v>7</v>
      </c>
      <c r="B86" t="s">
        <v>77</v>
      </c>
    </row>
    <row r="87" spans="1:2" ht="57.6" x14ac:dyDescent="0.3">
      <c r="A87" s="4" t="s">
        <v>138</v>
      </c>
      <c r="B87" t="s">
        <v>76</v>
      </c>
    </row>
    <row r="88" spans="1:2" ht="43.2" x14ac:dyDescent="0.3">
      <c r="A88" s="4" t="s">
        <v>170</v>
      </c>
      <c r="B88" t="s">
        <v>75</v>
      </c>
    </row>
    <row r="89" spans="1:2" ht="43.2" x14ac:dyDescent="0.3">
      <c r="A89" s="4" t="s">
        <v>32</v>
      </c>
      <c r="B89" t="s">
        <v>77</v>
      </c>
    </row>
    <row r="90" spans="1:2" ht="28.8" x14ac:dyDescent="0.3">
      <c r="A90" s="4" t="s">
        <v>90</v>
      </c>
      <c r="B90" t="s">
        <v>76</v>
      </c>
    </row>
    <row r="91" spans="1:2" ht="28.8" x14ac:dyDescent="0.3">
      <c r="A91" s="4" t="s">
        <v>17</v>
      </c>
      <c r="B91" t="s">
        <v>76</v>
      </c>
    </row>
    <row r="92" spans="1:2" ht="28.8" x14ac:dyDescent="0.3">
      <c r="A92" s="4" t="s">
        <v>37</v>
      </c>
      <c r="B92" t="s">
        <v>76</v>
      </c>
    </row>
    <row r="93" spans="1:2" ht="43.2" x14ac:dyDescent="0.3">
      <c r="A93" s="4" t="s">
        <v>73</v>
      </c>
      <c r="B93" t="s">
        <v>75</v>
      </c>
    </row>
    <row r="94" spans="1:2" ht="28.8" x14ac:dyDescent="0.3">
      <c r="A94" s="4" t="s">
        <v>135</v>
      </c>
      <c r="B94" t="s">
        <v>75</v>
      </c>
    </row>
    <row r="95" spans="1:2" ht="43.2" x14ac:dyDescent="0.3">
      <c r="A95" s="4" t="s">
        <v>108</v>
      </c>
      <c r="B95" t="s">
        <v>76</v>
      </c>
    </row>
    <row r="96" spans="1:2" ht="28.8" x14ac:dyDescent="0.3">
      <c r="A96" s="4" t="s">
        <v>12</v>
      </c>
      <c r="B96" t="s">
        <v>77</v>
      </c>
    </row>
    <row r="97" spans="1:2" ht="28.8" x14ac:dyDescent="0.3">
      <c r="A97" s="4" t="s">
        <v>88</v>
      </c>
      <c r="B97" t="s">
        <v>76</v>
      </c>
    </row>
    <row r="98" spans="1:2" x14ac:dyDescent="0.3">
      <c r="A98" s="4" t="s">
        <v>171</v>
      </c>
      <c r="B98" t="s">
        <v>76</v>
      </c>
    </row>
    <row r="99" spans="1:2" ht="28.8" x14ac:dyDescent="0.3">
      <c r="A99" s="4" t="s">
        <v>133</v>
      </c>
      <c r="B99" t="s">
        <v>76</v>
      </c>
    </row>
    <row r="100" spans="1:2" ht="57.6" x14ac:dyDescent="0.3">
      <c r="A100" s="4" t="s">
        <v>84</v>
      </c>
      <c r="B100" t="s">
        <v>77</v>
      </c>
    </row>
    <row r="101" spans="1:2" ht="43.2" x14ac:dyDescent="0.3">
      <c r="A101" s="4" t="s">
        <v>156</v>
      </c>
      <c r="B101" t="s">
        <v>76</v>
      </c>
    </row>
    <row r="102" spans="1:2" ht="43.2" x14ac:dyDescent="0.3">
      <c r="A102" s="4" t="s">
        <v>86</v>
      </c>
      <c r="B102" t="s">
        <v>76</v>
      </c>
    </row>
    <row r="103" spans="1:2" ht="43.2" x14ac:dyDescent="0.3">
      <c r="A103" s="4" t="s">
        <v>102</v>
      </c>
      <c r="B103" t="s">
        <v>75</v>
      </c>
    </row>
    <row r="104" spans="1:2" x14ac:dyDescent="0.3">
      <c r="A104" t="s">
        <v>132</v>
      </c>
      <c r="B104" t="s">
        <v>75</v>
      </c>
    </row>
    <row r="105" spans="1:2" ht="43.2" x14ac:dyDescent="0.3">
      <c r="A105" s="4" t="s">
        <v>154</v>
      </c>
      <c r="B105" t="s">
        <v>75</v>
      </c>
    </row>
    <row r="106" spans="1:2" x14ac:dyDescent="0.3">
      <c r="A106" t="s">
        <v>166</v>
      </c>
      <c r="B106" t="s">
        <v>75</v>
      </c>
    </row>
    <row r="107" spans="1:2" ht="57.6" x14ac:dyDescent="0.3">
      <c r="A107" s="4" t="s">
        <v>68</v>
      </c>
      <c r="B107" t="s">
        <v>75</v>
      </c>
    </row>
    <row r="108" spans="1:2" ht="57.6" x14ac:dyDescent="0.3">
      <c r="A108" s="4" t="s">
        <v>152</v>
      </c>
      <c r="B108" t="s">
        <v>75</v>
      </c>
    </row>
    <row r="109" spans="1:2" x14ac:dyDescent="0.3">
      <c r="A109" t="s">
        <v>164</v>
      </c>
      <c r="B109" t="s">
        <v>75</v>
      </c>
    </row>
    <row r="110" spans="1:2" ht="28.8" x14ac:dyDescent="0.3">
      <c r="A110" s="4" t="s">
        <v>8</v>
      </c>
      <c r="B110" t="s">
        <v>76</v>
      </c>
    </row>
    <row r="111" spans="1:2" ht="28.8" x14ac:dyDescent="0.3">
      <c r="A111" s="4" t="s">
        <v>94</v>
      </c>
      <c r="B111" t="s">
        <v>76</v>
      </c>
    </row>
    <row r="112" spans="1:2" ht="28.8" x14ac:dyDescent="0.3">
      <c r="A112" s="4" t="s">
        <v>94</v>
      </c>
      <c r="B112" t="s">
        <v>75</v>
      </c>
    </row>
    <row r="113" spans="1:2" x14ac:dyDescent="0.3">
      <c r="A113" t="s">
        <v>128</v>
      </c>
      <c r="B113" t="s">
        <v>75</v>
      </c>
    </row>
    <row r="114" spans="1:2" ht="57.6" x14ac:dyDescent="0.3">
      <c r="A114" s="4" t="s">
        <v>43</v>
      </c>
      <c r="B114" t="s">
        <v>75</v>
      </c>
    </row>
    <row r="115" spans="1:2" ht="100.8" x14ac:dyDescent="0.3">
      <c r="A115" s="4" t="s">
        <v>224</v>
      </c>
      <c r="B115" t="s">
        <v>75</v>
      </c>
    </row>
    <row r="116" spans="1:2" ht="43.2" x14ac:dyDescent="0.3">
      <c r="A116" s="4" t="s">
        <v>151</v>
      </c>
      <c r="B116" t="s">
        <v>75</v>
      </c>
    </row>
    <row r="117" spans="1:2" x14ac:dyDescent="0.3">
      <c r="A117" s="4" t="s">
        <v>136</v>
      </c>
      <c r="B117" t="s">
        <v>76</v>
      </c>
    </row>
    <row r="118" spans="1:2" ht="28.8" x14ac:dyDescent="0.3">
      <c r="A118" s="4" t="s">
        <v>48</v>
      </c>
      <c r="B118" s="10" t="s">
        <v>75</v>
      </c>
    </row>
    <row r="119" spans="1:2" ht="28.8" x14ac:dyDescent="0.3">
      <c r="A119" s="4" t="s">
        <v>48</v>
      </c>
      <c r="B119" t="s">
        <v>76</v>
      </c>
    </row>
    <row r="120" spans="1:2" ht="57.6" x14ac:dyDescent="0.3">
      <c r="A120" s="4" t="s">
        <v>99</v>
      </c>
      <c r="B120" t="s">
        <v>76</v>
      </c>
    </row>
    <row r="121" spans="1:2" x14ac:dyDescent="0.3">
      <c r="A121" t="s">
        <v>123</v>
      </c>
      <c r="B121" t="s">
        <v>76</v>
      </c>
    </row>
    <row r="122" spans="1:2" ht="57.6" x14ac:dyDescent="0.3">
      <c r="A122" s="4" t="s">
        <v>147</v>
      </c>
      <c r="B122" t="s">
        <v>76</v>
      </c>
    </row>
    <row r="123" spans="1:2" x14ac:dyDescent="0.3">
      <c r="A123" t="s">
        <v>161</v>
      </c>
      <c r="B123" t="s">
        <v>75</v>
      </c>
    </row>
    <row r="124" spans="1:2" ht="57.6" x14ac:dyDescent="0.3">
      <c r="A124" s="4" t="s">
        <v>57</v>
      </c>
      <c r="B124" t="s">
        <v>76</v>
      </c>
    </row>
    <row r="125" spans="1:2" ht="57.6" x14ac:dyDescent="0.3">
      <c r="A125" s="4" t="s">
        <v>40</v>
      </c>
      <c r="B125" t="s">
        <v>76</v>
      </c>
    </row>
    <row r="126" spans="1:2" ht="72" x14ac:dyDescent="0.3">
      <c r="A126" s="4" t="s">
        <v>42</v>
      </c>
      <c r="B126" t="s">
        <v>75</v>
      </c>
    </row>
    <row r="127" spans="1:2" ht="86.4" x14ac:dyDescent="0.3">
      <c r="A127" s="4" t="s">
        <v>100</v>
      </c>
      <c r="B127" t="s">
        <v>75</v>
      </c>
    </row>
    <row r="128" spans="1:2" x14ac:dyDescent="0.3">
      <c r="A128" t="s">
        <v>125</v>
      </c>
      <c r="B128" t="s">
        <v>75</v>
      </c>
    </row>
    <row r="129" spans="1:2" x14ac:dyDescent="0.3">
      <c r="A129" t="s">
        <v>162</v>
      </c>
      <c r="B129" t="s">
        <v>75</v>
      </c>
    </row>
    <row r="130" spans="1:2" ht="57.6" x14ac:dyDescent="0.3">
      <c r="A130" s="4" t="s">
        <v>59</v>
      </c>
      <c r="B130" t="s">
        <v>75</v>
      </c>
    </row>
    <row r="131" spans="1:2" ht="57.6" x14ac:dyDescent="0.3">
      <c r="A131" s="4" t="s">
        <v>60</v>
      </c>
      <c r="B131" t="s">
        <v>75</v>
      </c>
    </row>
    <row r="132" spans="1:2" ht="28.8" x14ac:dyDescent="0.3">
      <c r="A132" s="4" t="s">
        <v>69</v>
      </c>
      <c r="B132" t="s">
        <v>75</v>
      </c>
    </row>
    <row r="133" spans="1:2" ht="43.2" x14ac:dyDescent="0.3">
      <c r="A133" s="4" t="s">
        <v>58</v>
      </c>
      <c r="B133" t="s">
        <v>75</v>
      </c>
    </row>
    <row r="134" spans="1:2" ht="57.6" x14ac:dyDescent="0.3">
      <c r="A134" s="4" t="s">
        <v>150</v>
      </c>
      <c r="B134" t="s">
        <v>75</v>
      </c>
    </row>
    <row r="135" spans="1:2" x14ac:dyDescent="0.3">
      <c r="A135" t="s">
        <v>126</v>
      </c>
      <c r="B135" t="s">
        <v>75</v>
      </c>
    </row>
    <row r="136" spans="1:2" ht="57.6" x14ac:dyDescent="0.3">
      <c r="A136" s="4" t="s">
        <v>149</v>
      </c>
      <c r="B136" t="s">
        <v>75</v>
      </c>
    </row>
    <row r="137" spans="1:2" x14ac:dyDescent="0.3">
      <c r="A137" t="s">
        <v>163</v>
      </c>
      <c r="B137" t="s">
        <v>75</v>
      </c>
    </row>
    <row r="138" spans="1:2" x14ac:dyDescent="0.3">
      <c r="A138" t="s">
        <v>127</v>
      </c>
      <c r="B138" t="s">
        <v>75</v>
      </c>
    </row>
    <row r="139" spans="1:2" x14ac:dyDescent="0.3">
      <c r="A139" t="s">
        <v>130</v>
      </c>
      <c r="B139" t="s">
        <v>75</v>
      </c>
    </row>
    <row r="140" spans="1:2" ht="43.2" x14ac:dyDescent="0.3">
      <c r="A140" s="4" t="s">
        <v>23</v>
      </c>
      <c r="B140" t="s">
        <v>75</v>
      </c>
    </row>
    <row r="141" spans="1:2" ht="57.6" x14ac:dyDescent="0.3">
      <c r="A141" s="4" t="s">
        <v>34</v>
      </c>
      <c r="B141" t="s">
        <v>76</v>
      </c>
    </row>
    <row r="142" spans="1:2" x14ac:dyDescent="0.3">
      <c r="A142" s="4" t="s">
        <v>35</v>
      </c>
      <c r="B142" t="s">
        <v>75</v>
      </c>
    </row>
    <row r="143" spans="1:2" ht="28.8" x14ac:dyDescent="0.3">
      <c r="A143" s="4" t="s">
        <v>33</v>
      </c>
      <c r="B143" t="s">
        <v>77</v>
      </c>
    </row>
    <row r="144" spans="1:2" x14ac:dyDescent="0.3">
      <c r="A144" t="s">
        <v>117</v>
      </c>
      <c r="B144" t="s">
        <v>76</v>
      </c>
    </row>
    <row r="145" spans="1:2" ht="28.8" x14ac:dyDescent="0.3">
      <c r="A145" s="8" t="s">
        <v>117</v>
      </c>
      <c r="B145" t="s">
        <v>75</v>
      </c>
    </row>
    <row r="146" spans="1:2" ht="57.6" x14ac:dyDescent="0.3">
      <c r="A146" s="4" t="s">
        <v>142</v>
      </c>
      <c r="B146" t="s">
        <v>76</v>
      </c>
    </row>
    <row r="147" spans="1:2" ht="57.6" x14ac:dyDescent="0.3">
      <c r="A147" s="4" t="s">
        <v>143</v>
      </c>
      <c r="B147" t="s">
        <v>76</v>
      </c>
    </row>
    <row r="148" spans="1:2" x14ac:dyDescent="0.3">
      <c r="A148" t="s">
        <v>158</v>
      </c>
      <c r="B148" t="s">
        <v>76</v>
      </c>
    </row>
    <row r="149" spans="1:2" ht="57.6" x14ac:dyDescent="0.3">
      <c r="A149" s="4" t="s">
        <v>50</v>
      </c>
      <c r="B149" s="10" t="s">
        <v>77</v>
      </c>
    </row>
    <row r="150" spans="1:2" x14ac:dyDescent="0.3">
      <c r="A150" s="4" t="s">
        <v>222</v>
      </c>
      <c r="B150" s="10" t="s">
        <v>75</v>
      </c>
    </row>
    <row r="151" spans="1:2" x14ac:dyDescent="0.3">
      <c r="A151" s="4" t="s">
        <v>222</v>
      </c>
      <c r="B151" t="s">
        <v>77</v>
      </c>
    </row>
    <row r="152" spans="1:2" x14ac:dyDescent="0.3">
      <c r="A152" s="4" t="s">
        <v>4</v>
      </c>
      <c r="B152" s="10" t="s">
        <v>75</v>
      </c>
    </row>
    <row r="153" spans="1:2" ht="43.2" x14ac:dyDescent="0.3">
      <c r="A153" s="4" t="s">
        <v>19</v>
      </c>
      <c r="B153" t="s">
        <v>76</v>
      </c>
    </row>
    <row r="154" spans="1:2" ht="72" x14ac:dyDescent="0.3">
      <c r="A154" s="4" t="s">
        <v>139</v>
      </c>
      <c r="B154" t="s">
        <v>75</v>
      </c>
    </row>
    <row r="155" spans="1:2" ht="57.6" x14ac:dyDescent="0.3">
      <c r="A155" s="4" t="s">
        <v>140</v>
      </c>
      <c r="B155" t="s">
        <v>75</v>
      </c>
    </row>
    <row r="156" spans="1:2" ht="43.2" x14ac:dyDescent="0.3">
      <c r="A156" s="4" t="s">
        <v>180</v>
      </c>
      <c r="B156" s="10" t="s">
        <v>75</v>
      </c>
    </row>
    <row r="157" spans="1:2" ht="43.2" x14ac:dyDescent="0.3">
      <c r="A157" s="4" t="s">
        <v>70</v>
      </c>
      <c r="B157" t="s">
        <v>77</v>
      </c>
    </row>
    <row r="158" spans="1:2" ht="57.6" x14ac:dyDescent="0.3">
      <c r="A158" s="4" t="s">
        <v>182</v>
      </c>
      <c r="B158" t="s">
        <v>76</v>
      </c>
    </row>
    <row r="159" spans="1:2" ht="57.6" x14ac:dyDescent="0.3">
      <c r="A159" s="4" t="s">
        <v>101</v>
      </c>
      <c r="B159" t="s">
        <v>76</v>
      </c>
    </row>
    <row r="160" spans="1:2" x14ac:dyDescent="0.3">
      <c r="A160" t="s">
        <v>129</v>
      </c>
      <c r="B160" t="s">
        <v>77</v>
      </c>
    </row>
    <row r="161" spans="1:2" x14ac:dyDescent="0.3">
      <c r="A161" t="s">
        <v>111</v>
      </c>
      <c r="B161" t="s">
        <v>77</v>
      </c>
    </row>
    <row r="162" spans="1:2" ht="86.4" x14ac:dyDescent="0.3">
      <c r="A162" s="4" t="s">
        <v>63</v>
      </c>
      <c r="B162" t="s">
        <v>77</v>
      </c>
    </row>
    <row r="163" spans="1:2" x14ac:dyDescent="0.3">
      <c r="A163" t="s">
        <v>63</v>
      </c>
      <c r="B163" t="s">
        <v>76</v>
      </c>
    </row>
    <row r="164" spans="1:2" ht="86.4" x14ac:dyDescent="0.3">
      <c r="A164" s="4" t="s">
        <v>62</v>
      </c>
      <c r="B164" t="s">
        <v>77</v>
      </c>
    </row>
    <row r="165" spans="1:2" ht="72" x14ac:dyDescent="0.3">
      <c r="A165" s="4" t="s">
        <v>103</v>
      </c>
      <c r="B165" t="s">
        <v>76</v>
      </c>
    </row>
    <row r="166" spans="1:2" ht="43.2" x14ac:dyDescent="0.3">
      <c r="A166" s="4" t="s">
        <v>87</v>
      </c>
      <c r="B166" t="s">
        <v>75</v>
      </c>
    </row>
    <row r="167" spans="1:2" ht="57.6" x14ac:dyDescent="0.3">
      <c r="A167" s="4" t="s">
        <v>91</v>
      </c>
      <c r="B167" t="s">
        <v>75</v>
      </c>
    </row>
    <row r="168" spans="1:2" ht="28.8" x14ac:dyDescent="0.3">
      <c r="A168" s="4" t="s">
        <v>22</v>
      </c>
      <c r="B168" t="s">
        <v>77</v>
      </c>
    </row>
    <row r="169" spans="1:2" ht="28.8" x14ac:dyDescent="0.3">
      <c r="A169" s="4" t="s">
        <v>66</v>
      </c>
      <c r="B169" t="s">
        <v>75</v>
      </c>
    </row>
    <row r="170" spans="1:2" x14ac:dyDescent="0.3">
      <c r="A170" t="s">
        <v>66</v>
      </c>
      <c r="B170" t="s">
        <v>76</v>
      </c>
    </row>
    <row r="171" spans="1:2" x14ac:dyDescent="0.3">
      <c r="A171" t="s">
        <v>121</v>
      </c>
      <c r="B171" t="s">
        <v>75</v>
      </c>
    </row>
    <row r="172" spans="1:2" ht="57.6" x14ac:dyDescent="0.3">
      <c r="A172" s="4" t="s">
        <v>55</v>
      </c>
      <c r="B172" s="10" t="s">
        <v>75</v>
      </c>
    </row>
    <row r="173" spans="1:2" ht="28.8" x14ac:dyDescent="0.3">
      <c r="A173" s="4" t="s">
        <v>106</v>
      </c>
      <c r="B173" t="s">
        <v>75</v>
      </c>
    </row>
    <row r="174" spans="1:2" ht="28.8" x14ac:dyDescent="0.3">
      <c r="A174" s="4" t="s">
        <v>134</v>
      </c>
      <c r="B174" t="s">
        <v>75</v>
      </c>
    </row>
    <row r="175" spans="1:2" x14ac:dyDescent="0.3">
      <c r="A175" t="s">
        <v>118</v>
      </c>
      <c r="B175" t="s">
        <v>75</v>
      </c>
    </row>
    <row r="176" spans="1:2" ht="43.2" x14ac:dyDescent="0.3">
      <c r="A176" s="4" t="s">
        <v>67</v>
      </c>
      <c r="B176" t="s">
        <v>75</v>
      </c>
    </row>
    <row r="177" spans="1:2" ht="43.2" x14ac:dyDescent="0.3">
      <c r="A177" s="4" t="s">
        <v>89</v>
      </c>
      <c r="B177" t="s">
        <v>75</v>
      </c>
    </row>
    <row r="178" spans="1:2" ht="86.4" x14ac:dyDescent="0.3">
      <c r="A178" s="4" t="s">
        <v>173</v>
      </c>
      <c r="B178" t="s">
        <v>77</v>
      </c>
    </row>
    <row r="179" spans="1:2" ht="57.6" x14ac:dyDescent="0.3">
      <c r="A179" s="4" t="s">
        <v>174</v>
      </c>
      <c r="B179" t="s">
        <v>77</v>
      </c>
    </row>
    <row r="180" spans="1:2" ht="57.6" x14ac:dyDescent="0.3">
      <c r="A180" s="4" t="s">
        <v>175</v>
      </c>
      <c r="B180" t="s">
        <v>75</v>
      </c>
    </row>
    <row r="181" spans="1:2" ht="86.4" x14ac:dyDescent="0.3">
      <c r="A181" s="8" t="s">
        <v>177</v>
      </c>
      <c r="B181" t="s">
        <v>75</v>
      </c>
    </row>
    <row r="182" spans="1:2" ht="43.2" x14ac:dyDescent="0.3">
      <c r="A182" s="4" t="s">
        <v>178</v>
      </c>
      <c r="B182" t="s">
        <v>75</v>
      </c>
    </row>
    <row r="183" spans="1:2" ht="86.4" x14ac:dyDescent="0.3">
      <c r="A183" s="4" t="s">
        <v>176</v>
      </c>
      <c r="B183" t="s">
        <v>75</v>
      </c>
    </row>
    <row r="184" spans="1:2" x14ac:dyDescent="0.3">
      <c r="A184" s="4" t="s">
        <v>179</v>
      </c>
      <c r="B184" t="s">
        <v>75</v>
      </c>
    </row>
    <row r="185" spans="1:2" ht="72" x14ac:dyDescent="0.3">
      <c r="A185" s="4" t="s">
        <v>181</v>
      </c>
      <c r="B185" t="s">
        <v>76</v>
      </c>
    </row>
    <row r="186" spans="1:2" ht="57.6" x14ac:dyDescent="0.3">
      <c r="A186" s="4" t="s">
        <v>183</v>
      </c>
      <c r="B186" t="s">
        <v>75</v>
      </c>
    </row>
    <row r="187" spans="1:2" ht="57.6" x14ac:dyDescent="0.3">
      <c r="A187" s="4" t="s">
        <v>184</v>
      </c>
      <c r="B187" t="s">
        <v>76</v>
      </c>
    </row>
    <row r="188" spans="1:2" ht="43.2" x14ac:dyDescent="0.3">
      <c r="A188" s="4" t="s">
        <v>186</v>
      </c>
      <c r="B188" t="s">
        <v>76</v>
      </c>
    </row>
    <row r="189" spans="1:2" ht="28.8" x14ac:dyDescent="0.3">
      <c r="A189" s="4" t="s">
        <v>185</v>
      </c>
      <c r="B189" t="s">
        <v>75</v>
      </c>
    </row>
    <row r="190" spans="1:2" ht="43.2" x14ac:dyDescent="0.3">
      <c r="A190" s="4" t="s">
        <v>189</v>
      </c>
      <c r="B190" t="s">
        <v>75</v>
      </c>
    </row>
    <row r="191" spans="1:2" ht="28.8" x14ac:dyDescent="0.3">
      <c r="A191" s="4" t="s">
        <v>188</v>
      </c>
      <c r="B191" t="s">
        <v>75</v>
      </c>
    </row>
    <row r="192" spans="1:2" ht="57.6" x14ac:dyDescent="0.3">
      <c r="A192" s="4" t="s">
        <v>187</v>
      </c>
      <c r="B192" t="s">
        <v>75</v>
      </c>
    </row>
    <row r="193" spans="1:2" ht="28.8" x14ac:dyDescent="0.3">
      <c r="A193" s="4" t="s">
        <v>190</v>
      </c>
      <c r="B193" t="s">
        <v>76</v>
      </c>
    </row>
    <row r="194" spans="1:2" ht="43.2" x14ac:dyDescent="0.3">
      <c r="A194" s="4" t="s">
        <v>192</v>
      </c>
      <c r="B194" t="s">
        <v>75</v>
      </c>
    </row>
    <row r="195" spans="1:2" ht="43.2" x14ac:dyDescent="0.3">
      <c r="A195" s="4" t="s">
        <v>193</v>
      </c>
      <c r="B195" t="s">
        <v>75</v>
      </c>
    </row>
    <row r="196" spans="1:2" ht="43.2" x14ac:dyDescent="0.3">
      <c r="A196" s="4" t="s">
        <v>194</v>
      </c>
      <c r="B196" t="s">
        <v>75</v>
      </c>
    </row>
    <row r="197" spans="1:2" ht="28.8" x14ac:dyDescent="0.3">
      <c r="A197" s="4" t="s">
        <v>195</v>
      </c>
      <c r="B197" t="s">
        <v>75</v>
      </c>
    </row>
    <row r="198" spans="1:2" ht="28.8" x14ac:dyDescent="0.3">
      <c r="A198" s="4" t="s">
        <v>191</v>
      </c>
      <c r="B198" t="s">
        <v>75</v>
      </c>
    </row>
    <row r="199" spans="1:2" ht="86.4" x14ac:dyDescent="0.3">
      <c r="A199" s="4" t="s">
        <v>196</v>
      </c>
      <c r="B199" t="s">
        <v>76</v>
      </c>
    </row>
    <row r="200" spans="1:2" ht="72" x14ac:dyDescent="0.3">
      <c r="A200" s="4" t="s">
        <v>197</v>
      </c>
      <c r="B200" t="s">
        <v>76</v>
      </c>
    </row>
    <row r="201" spans="1:2" ht="72" x14ac:dyDescent="0.3">
      <c r="A201" s="4" t="s">
        <v>198</v>
      </c>
      <c r="B201" t="s">
        <v>76</v>
      </c>
    </row>
    <row r="202" spans="1:2" ht="72" x14ac:dyDescent="0.3">
      <c r="A202" s="4" t="s">
        <v>199</v>
      </c>
      <c r="B202" t="s">
        <v>76</v>
      </c>
    </row>
    <row r="203" spans="1:2" ht="72" x14ac:dyDescent="0.3">
      <c r="A203" s="4" t="s">
        <v>200</v>
      </c>
      <c r="B203" t="s">
        <v>76</v>
      </c>
    </row>
    <row r="204" spans="1:2" ht="43.2" x14ac:dyDescent="0.3">
      <c r="A204" s="4" t="s">
        <v>204</v>
      </c>
      <c r="B204" t="s">
        <v>75</v>
      </c>
    </row>
    <row r="205" spans="1:2" ht="43.2" x14ac:dyDescent="0.3">
      <c r="A205" s="4" t="s">
        <v>205</v>
      </c>
      <c r="B205" t="s">
        <v>75</v>
      </c>
    </row>
    <row r="206" spans="1:2" ht="100.8" x14ac:dyDescent="0.3">
      <c r="A206" s="4" t="s">
        <v>201</v>
      </c>
      <c r="B206" t="s">
        <v>76</v>
      </c>
    </row>
    <row r="207" spans="1:2" ht="43.2" x14ac:dyDescent="0.3">
      <c r="A207" s="4" t="s">
        <v>202</v>
      </c>
      <c r="B207" t="s">
        <v>75</v>
      </c>
    </row>
    <row r="208" spans="1:2" ht="57.6" x14ac:dyDescent="0.3">
      <c r="A208" s="4" t="s">
        <v>203</v>
      </c>
      <c r="B208" t="s">
        <v>75</v>
      </c>
    </row>
    <row r="209" spans="1:2" x14ac:dyDescent="0.3">
      <c r="A209" s="4" t="s">
        <v>206</v>
      </c>
      <c r="B209" t="s">
        <v>75</v>
      </c>
    </row>
    <row r="210" spans="1:2" ht="43.2" x14ac:dyDescent="0.3">
      <c r="A210" s="8" t="s">
        <v>207</v>
      </c>
      <c r="B210" t="s">
        <v>75</v>
      </c>
    </row>
    <row r="211" spans="1:2" ht="57.6" x14ac:dyDescent="0.3">
      <c r="A211" s="4" t="s">
        <v>208</v>
      </c>
      <c r="B211" t="s">
        <v>77</v>
      </c>
    </row>
    <row r="212" spans="1:2" x14ac:dyDescent="0.3">
      <c r="A212" s="4" t="s">
        <v>209</v>
      </c>
      <c r="B212" t="s">
        <v>75</v>
      </c>
    </row>
    <row r="213" spans="1:2" ht="86.4" x14ac:dyDescent="0.3">
      <c r="A213" s="4" t="s">
        <v>210</v>
      </c>
      <c r="B213" t="s">
        <v>75</v>
      </c>
    </row>
    <row r="214" spans="1:2" ht="72" x14ac:dyDescent="0.3">
      <c r="A214" s="4" t="s">
        <v>211</v>
      </c>
      <c r="B214" t="s">
        <v>75</v>
      </c>
    </row>
    <row r="215" spans="1:2" ht="72" x14ac:dyDescent="0.3">
      <c r="A215" s="4" t="s">
        <v>212</v>
      </c>
      <c r="B215" t="s">
        <v>75</v>
      </c>
    </row>
    <row r="216" spans="1:2" ht="72" x14ac:dyDescent="0.3">
      <c r="A216" s="4" t="s">
        <v>213</v>
      </c>
      <c r="B216" t="s">
        <v>75</v>
      </c>
    </row>
    <row r="217" spans="1:2" ht="57.6" x14ac:dyDescent="0.3">
      <c r="A217" s="4" t="s">
        <v>214</v>
      </c>
      <c r="B217" t="s">
        <v>75</v>
      </c>
    </row>
    <row r="218" spans="1:2" ht="57.6" x14ac:dyDescent="0.3">
      <c r="A218" s="4" t="s">
        <v>215</v>
      </c>
      <c r="B218" t="s">
        <v>75</v>
      </c>
    </row>
    <row r="219" spans="1:2" ht="72" x14ac:dyDescent="0.3">
      <c r="A219" s="4" t="s">
        <v>217</v>
      </c>
      <c r="B219" t="s">
        <v>76</v>
      </c>
    </row>
    <row r="220" spans="1:2" ht="57.6" x14ac:dyDescent="0.3">
      <c r="A220" s="4" t="s">
        <v>216</v>
      </c>
      <c r="B220" t="s">
        <v>76</v>
      </c>
    </row>
    <row r="221" spans="1:2" ht="28.8" x14ac:dyDescent="0.3">
      <c r="A221" s="4" t="s">
        <v>218</v>
      </c>
      <c r="B221" t="s">
        <v>76</v>
      </c>
    </row>
    <row r="222" spans="1:2" x14ac:dyDescent="0.3">
      <c r="A222" s="4" t="s">
        <v>219</v>
      </c>
      <c r="B222" t="s">
        <v>76</v>
      </c>
    </row>
    <row r="223" spans="1:2" ht="57.6" x14ac:dyDescent="0.3">
      <c r="A223" s="4" t="s">
        <v>221</v>
      </c>
      <c r="B223" t="s">
        <v>75</v>
      </c>
    </row>
    <row r="224" spans="1:2" ht="43.2" x14ac:dyDescent="0.3">
      <c r="A224" s="4" t="s">
        <v>220</v>
      </c>
      <c r="B22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Pardo</dc:creator>
  <cp:lastModifiedBy>Cristian Parada</cp:lastModifiedBy>
  <dcterms:created xsi:type="dcterms:W3CDTF">2025-10-28T21:24:02Z</dcterms:created>
  <dcterms:modified xsi:type="dcterms:W3CDTF">2026-07-22T17:08:25Z</dcterms:modified>
</cp:coreProperties>
</file>